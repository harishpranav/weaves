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weaves docs\"/>
    </mc:Choice>
  </mc:AlternateContent>
  <bookViews>
    <workbookView xWindow="0" yWindow="0" windowWidth="17256" windowHeight="5844" activeTab="2"/>
  </bookViews>
  <sheets>
    <sheet name="pricing_chart" sheetId="1" r:id="rId1"/>
    <sheet name="tailor cost" sheetId="3" r:id="rId2"/>
    <sheet name="analysis" sheetId="2" r:id="rId3"/>
    <sheet name="Sheet1" sheetId="4" r:id="rId4"/>
  </sheets>
  <calcPr calcId="152511"/>
</workbook>
</file>

<file path=xl/calcChain.xml><?xml version="1.0" encoding="utf-8"?>
<calcChain xmlns="http://schemas.openxmlformats.org/spreadsheetml/2006/main">
  <c r="L6" i="2" l="1"/>
  <c r="G60" i="2"/>
  <c r="N10" i="1"/>
  <c r="V60" i="1"/>
  <c r="V61" i="1"/>
  <c r="V62" i="1"/>
  <c r="T60" i="1"/>
  <c r="T61" i="1"/>
  <c r="T62" i="1"/>
  <c r="V59" i="1"/>
  <c r="T59" i="1"/>
  <c r="V37" i="1"/>
  <c r="V38" i="1"/>
  <c r="V39" i="1"/>
  <c r="V36" i="1"/>
  <c r="T37" i="1"/>
  <c r="T38" i="1"/>
  <c r="T39" i="1"/>
  <c r="T36" i="1"/>
  <c r="W60" i="1"/>
  <c r="W61" i="1"/>
  <c r="W62" i="1"/>
  <c r="W59" i="1"/>
  <c r="U60" i="1"/>
  <c r="U61" i="1"/>
  <c r="U62" i="1"/>
  <c r="U59" i="1"/>
  <c r="W37" i="1"/>
  <c r="W38" i="1"/>
  <c r="W39" i="1"/>
  <c r="W36" i="1"/>
  <c r="U37" i="1"/>
  <c r="U38" i="1"/>
  <c r="U39" i="1"/>
  <c r="U36" i="1"/>
  <c r="N60" i="1"/>
  <c r="N61" i="1"/>
  <c r="N62" i="1"/>
  <c r="N63" i="1"/>
  <c r="N64" i="1"/>
  <c r="N65" i="1"/>
  <c r="N66" i="1"/>
  <c r="N67" i="1"/>
  <c r="N68" i="1"/>
  <c r="N69" i="1"/>
  <c r="N70" i="1"/>
  <c r="N59" i="1"/>
  <c r="L60" i="1"/>
  <c r="L63" i="1"/>
  <c r="L64" i="1"/>
  <c r="L65" i="1"/>
  <c r="L66" i="1"/>
  <c r="L67" i="1"/>
  <c r="L68" i="1"/>
  <c r="L69" i="1"/>
  <c r="L70" i="1"/>
  <c r="L59" i="1"/>
  <c r="O60" i="1"/>
  <c r="O61" i="1"/>
  <c r="O62" i="1"/>
  <c r="O63" i="1"/>
  <c r="O64" i="1"/>
  <c r="O65" i="1"/>
  <c r="O66" i="1"/>
  <c r="O67" i="1"/>
  <c r="O68" i="1"/>
  <c r="O69" i="1"/>
  <c r="O70" i="1"/>
  <c r="O59" i="1"/>
  <c r="M60" i="1"/>
  <c r="M63" i="1"/>
  <c r="M64" i="1"/>
  <c r="M65" i="1"/>
  <c r="M66" i="1"/>
  <c r="M67" i="1"/>
  <c r="M68" i="1"/>
  <c r="M69" i="1"/>
  <c r="M70" i="1"/>
  <c r="M59" i="1"/>
  <c r="N37" i="1"/>
  <c r="N38" i="1"/>
  <c r="N39" i="1"/>
  <c r="N40" i="1"/>
  <c r="N41" i="1"/>
  <c r="N42" i="1"/>
  <c r="N43" i="1"/>
  <c r="N44" i="1"/>
  <c r="N45" i="1"/>
  <c r="N46" i="1"/>
  <c r="N47" i="1"/>
  <c r="N36" i="1"/>
  <c r="L37" i="1"/>
  <c r="L39" i="1"/>
  <c r="L40" i="1"/>
  <c r="L41" i="1"/>
  <c r="L42" i="1"/>
  <c r="L43" i="1"/>
  <c r="L44" i="1"/>
  <c r="L45" i="1"/>
  <c r="L46" i="1"/>
  <c r="L47" i="1"/>
  <c r="L36" i="1"/>
  <c r="M38" i="1"/>
  <c r="M61" i="1" s="1"/>
  <c r="L61" i="1" s="1"/>
  <c r="M39" i="1"/>
  <c r="M62" i="1" s="1"/>
  <c r="L62" i="1" s="1"/>
  <c r="M40" i="1"/>
  <c r="M41" i="1"/>
  <c r="M42" i="1"/>
  <c r="M43" i="1"/>
  <c r="M44" i="1"/>
  <c r="M45" i="1"/>
  <c r="M46" i="1"/>
  <c r="M47" i="1"/>
  <c r="M37" i="1"/>
  <c r="M36" i="1"/>
  <c r="G60" i="1"/>
  <c r="G61" i="1"/>
  <c r="G62" i="1"/>
  <c r="G63" i="1"/>
  <c r="G64" i="1"/>
  <c r="G65" i="1"/>
  <c r="G66" i="1"/>
  <c r="G67" i="1"/>
  <c r="G68" i="1"/>
  <c r="G69" i="1"/>
  <c r="G70" i="1"/>
  <c r="G71" i="1"/>
  <c r="G73" i="1"/>
  <c r="G74" i="1"/>
  <c r="G75" i="1"/>
  <c r="G59" i="1"/>
  <c r="E60" i="1"/>
  <c r="E61" i="1"/>
  <c r="E62" i="1"/>
  <c r="E63" i="1"/>
  <c r="E64" i="1"/>
  <c r="E65" i="1"/>
  <c r="E66" i="1"/>
  <c r="E67" i="1"/>
  <c r="E68" i="1"/>
  <c r="E69" i="1"/>
  <c r="E71" i="1"/>
  <c r="E59" i="1"/>
  <c r="G36" i="1"/>
  <c r="E37" i="1"/>
  <c r="E38" i="1"/>
  <c r="E39" i="1"/>
  <c r="E40" i="1"/>
  <c r="E41" i="1"/>
  <c r="E42" i="1"/>
  <c r="E43" i="1"/>
  <c r="E44" i="1"/>
  <c r="E45" i="1"/>
  <c r="E46" i="1"/>
  <c r="E47" i="1"/>
  <c r="E70" i="1" s="1"/>
  <c r="E48" i="1"/>
  <c r="E49" i="1"/>
  <c r="E72" i="1" s="1"/>
  <c r="E50" i="1"/>
  <c r="E73" i="1" s="1"/>
  <c r="E51" i="1"/>
  <c r="E74" i="1" s="1"/>
  <c r="E52" i="1"/>
  <c r="E75" i="1" s="1"/>
  <c r="E36" i="1"/>
  <c r="G41" i="1"/>
  <c r="G42" i="1"/>
  <c r="G43" i="1"/>
  <c r="G44" i="1"/>
  <c r="G45" i="1"/>
  <c r="G46" i="1"/>
  <c r="G47" i="1"/>
  <c r="G48" i="1"/>
  <c r="G49" i="1"/>
  <c r="G72" i="1" s="1"/>
  <c r="G50" i="1"/>
  <c r="G51" i="1"/>
  <c r="G52" i="1"/>
  <c r="G37" i="1"/>
  <c r="G38" i="1"/>
  <c r="G39" i="1"/>
  <c r="G40" i="1"/>
  <c r="L38" i="1" l="1"/>
  <c r="D4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59" i="1"/>
  <c r="D60" i="1"/>
  <c r="D61" i="1"/>
  <c r="D62" i="1"/>
  <c r="D63" i="1"/>
  <c r="D64" i="1"/>
  <c r="D65" i="1"/>
  <c r="D66" i="1"/>
  <c r="D67" i="1"/>
  <c r="D68" i="1"/>
  <c r="D69" i="1"/>
  <c r="D70" i="1"/>
  <c r="D71" i="1"/>
  <c r="D72" i="1"/>
  <c r="D73" i="1"/>
  <c r="D74" i="1"/>
  <c r="D75" i="1"/>
  <c r="D59" i="1"/>
  <c r="D8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36" i="1"/>
  <c r="D37" i="1"/>
  <c r="D38" i="1"/>
  <c r="D39" i="1"/>
  <c r="D40" i="1"/>
  <c r="D41" i="1"/>
  <c r="D42" i="1"/>
  <c r="D43" i="1"/>
  <c r="D44" i="1"/>
  <c r="D45" i="1"/>
  <c r="D46" i="1"/>
  <c r="D47" i="1"/>
  <c r="D48" i="1"/>
  <c r="D50" i="1"/>
  <c r="D51" i="1"/>
  <c r="D52" i="1"/>
  <c r="D36" i="1"/>
  <c r="L52" i="2" l="1"/>
  <c r="L29" i="2"/>
  <c r="F68" i="2" l="1"/>
  <c r="F67" i="2"/>
  <c r="F66" i="2"/>
  <c r="F65" i="2"/>
  <c r="F64" i="2"/>
  <c r="F63" i="2"/>
  <c r="F62" i="2"/>
  <c r="F61" i="2"/>
  <c r="F60" i="2"/>
  <c r="F59" i="2"/>
  <c r="F58" i="2"/>
  <c r="F57" i="2"/>
  <c r="F56" i="2"/>
  <c r="F55" i="2"/>
  <c r="F54" i="2"/>
  <c r="F53" i="2"/>
  <c r="F52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R63" i="2"/>
  <c r="R62" i="2"/>
  <c r="R61" i="2"/>
  <c r="R60" i="2"/>
  <c r="R59" i="2"/>
  <c r="R58" i="2"/>
  <c r="R57" i="2"/>
  <c r="R56" i="2"/>
  <c r="R55" i="2"/>
  <c r="R54" i="2"/>
  <c r="R53" i="2"/>
  <c r="R52" i="2"/>
  <c r="X63" i="2"/>
  <c r="X62" i="2"/>
  <c r="Y62" i="2" s="1"/>
  <c r="X61" i="2"/>
  <c r="X60" i="2"/>
  <c r="X59" i="2"/>
  <c r="X58" i="2"/>
  <c r="X57" i="2"/>
  <c r="X56" i="2"/>
  <c r="X55" i="2"/>
  <c r="X54" i="2"/>
  <c r="X53" i="2"/>
  <c r="X52" i="2"/>
  <c r="AE55" i="2"/>
  <c r="AE54" i="2"/>
  <c r="AE53" i="2"/>
  <c r="AE52" i="2"/>
  <c r="AK55" i="2"/>
  <c r="AL55" i="2" s="1"/>
  <c r="AK54" i="2"/>
  <c r="AL54" i="2" s="1"/>
  <c r="AK53" i="2"/>
  <c r="AK52" i="2"/>
  <c r="AK32" i="2"/>
  <c r="AK31" i="2"/>
  <c r="AK30" i="2"/>
  <c r="AE32" i="2"/>
  <c r="AE31" i="2"/>
  <c r="AE30" i="2"/>
  <c r="X40" i="2"/>
  <c r="X39" i="2"/>
  <c r="X38" i="2"/>
  <c r="X37" i="2"/>
  <c r="X36" i="2"/>
  <c r="X35" i="2"/>
  <c r="X34" i="2"/>
  <c r="X33" i="2"/>
  <c r="Y33" i="2" s="1"/>
  <c r="X32" i="2"/>
  <c r="X31" i="2"/>
  <c r="X30" i="2"/>
  <c r="R40" i="2"/>
  <c r="R39" i="2"/>
  <c r="R38" i="2"/>
  <c r="R37" i="2"/>
  <c r="R36" i="2"/>
  <c r="R35" i="2"/>
  <c r="R34" i="2"/>
  <c r="R33" i="2"/>
  <c r="R32" i="2"/>
  <c r="R31" i="2"/>
  <c r="R30" i="2"/>
  <c r="L45" i="2"/>
  <c r="L44" i="2"/>
  <c r="M44" i="2" s="1"/>
  <c r="L43" i="2"/>
  <c r="M43" i="2" s="1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F45" i="2"/>
  <c r="G45" i="2" s="1"/>
  <c r="F44" i="2"/>
  <c r="G44" i="2" s="1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G30" i="2" s="1"/>
  <c r="F29" i="2"/>
  <c r="G29" i="2" s="1"/>
  <c r="R29" i="2"/>
  <c r="X29" i="2"/>
  <c r="AE29" i="2"/>
  <c r="AK29" i="2"/>
  <c r="AJ32" i="2"/>
  <c r="AI32" i="2"/>
  <c r="AJ31" i="2"/>
  <c r="AI31" i="2"/>
  <c r="AJ30" i="2"/>
  <c r="AL30" i="2" s="1"/>
  <c r="AI30" i="2"/>
  <c r="AJ29" i="2"/>
  <c r="AL29" i="2" s="1"/>
  <c r="AI29" i="2"/>
  <c r="AD32" i="2"/>
  <c r="AF32" i="2" s="1"/>
  <c r="AC32" i="2"/>
  <c r="AD31" i="2"/>
  <c r="AF31" i="2" s="1"/>
  <c r="AC31" i="2"/>
  <c r="AD30" i="2"/>
  <c r="AC30" i="2"/>
  <c r="AD29" i="2"/>
  <c r="AC29" i="2"/>
  <c r="W40" i="2"/>
  <c r="V40" i="2"/>
  <c r="W39" i="2"/>
  <c r="V39" i="2"/>
  <c r="W38" i="2"/>
  <c r="V38" i="2"/>
  <c r="W37" i="2"/>
  <c r="V37" i="2"/>
  <c r="W36" i="2"/>
  <c r="V36" i="2"/>
  <c r="W35" i="2"/>
  <c r="Y35" i="2" s="1"/>
  <c r="V35" i="2"/>
  <c r="W34" i="2"/>
  <c r="V34" i="2"/>
  <c r="W33" i="2"/>
  <c r="V33" i="2"/>
  <c r="W32" i="2"/>
  <c r="V32" i="2"/>
  <c r="W31" i="2"/>
  <c r="V31" i="2"/>
  <c r="W30" i="2"/>
  <c r="Y30" i="2" s="1"/>
  <c r="V30" i="2"/>
  <c r="W29" i="2"/>
  <c r="V29" i="2"/>
  <c r="Q40" i="2"/>
  <c r="S40" i="2" s="1"/>
  <c r="P40" i="2"/>
  <c r="Q39" i="2"/>
  <c r="S39" i="2" s="1"/>
  <c r="P39" i="2"/>
  <c r="Q38" i="2"/>
  <c r="P38" i="2"/>
  <c r="Q37" i="2"/>
  <c r="P37" i="2"/>
  <c r="Q36" i="2"/>
  <c r="P36" i="2"/>
  <c r="Q35" i="2"/>
  <c r="P35" i="2"/>
  <c r="Q34" i="2"/>
  <c r="P34" i="2"/>
  <c r="Q33" i="2"/>
  <c r="P33" i="2"/>
  <c r="Q32" i="2"/>
  <c r="P32" i="2"/>
  <c r="Q31" i="2"/>
  <c r="P31" i="2"/>
  <c r="Q30" i="2"/>
  <c r="P30" i="2"/>
  <c r="Q29" i="2"/>
  <c r="P29" i="2"/>
  <c r="K45" i="2"/>
  <c r="J45" i="2"/>
  <c r="K44" i="2"/>
  <c r="J44" i="2"/>
  <c r="K43" i="2"/>
  <c r="J43" i="2"/>
  <c r="K42" i="2"/>
  <c r="J42" i="2"/>
  <c r="K41" i="2"/>
  <c r="M41" i="2" s="1"/>
  <c r="J41" i="2"/>
  <c r="K40" i="2"/>
  <c r="M40" i="2" s="1"/>
  <c r="J40" i="2"/>
  <c r="K39" i="2"/>
  <c r="M39" i="2" s="1"/>
  <c r="J39" i="2"/>
  <c r="K38" i="2"/>
  <c r="J38" i="2"/>
  <c r="K37" i="2"/>
  <c r="J37" i="2"/>
  <c r="K36" i="2"/>
  <c r="J36" i="2"/>
  <c r="K35" i="2"/>
  <c r="J35" i="2"/>
  <c r="K34" i="2"/>
  <c r="J34" i="2"/>
  <c r="K33" i="2"/>
  <c r="J33" i="2"/>
  <c r="K32" i="2"/>
  <c r="J32" i="2"/>
  <c r="K31" i="2"/>
  <c r="J31" i="2"/>
  <c r="K30" i="2"/>
  <c r="J30" i="2"/>
  <c r="K29" i="2"/>
  <c r="M29" i="2" s="1"/>
  <c r="E45" i="2"/>
  <c r="D45" i="2"/>
  <c r="E44" i="2"/>
  <c r="D44" i="2"/>
  <c r="E43" i="2"/>
  <c r="D43" i="2"/>
  <c r="E42" i="2"/>
  <c r="D42" i="2"/>
  <c r="E41" i="2"/>
  <c r="D41" i="2"/>
  <c r="E40" i="2"/>
  <c r="D40" i="2"/>
  <c r="E39" i="2"/>
  <c r="G39" i="2" s="1"/>
  <c r="D39" i="2"/>
  <c r="E38" i="2"/>
  <c r="D38" i="2"/>
  <c r="E37" i="2"/>
  <c r="D37" i="2"/>
  <c r="E36" i="2"/>
  <c r="D36" i="2"/>
  <c r="E35" i="2"/>
  <c r="D35" i="2"/>
  <c r="E34" i="2"/>
  <c r="D34" i="2"/>
  <c r="E33" i="2"/>
  <c r="D33" i="2"/>
  <c r="E32" i="2"/>
  <c r="D32" i="2"/>
  <c r="E31" i="2"/>
  <c r="D31" i="2"/>
  <c r="E30" i="2"/>
  <c r="D30" i="2"/>
  <c r="E29" i="2"/>
  <c r="AJ55" i="2"/>
  <c r="AJ54" i="2"/>
  <c r="AJ53" i="2"/>
  <c r="AJ52" i="2"/>
  <c r="AL52" i="2" s="1"/>
  <c r="AI52" i="2"/>
  <c r="AD55" i="2"/>
  <c r="AC55" i="2"/>
  <c r="AD54" i="2"/>
  <c r="AC54" i="2"/>
  <c r="AD53" i="2"/>
  <c r="AC53" i="2"/>
  <c r="AD52" i="2"/>
  <c r="AC52" i="2"/>
  <c r="W63" i="2"/>
  <c r="V63" i="2"/>
  <c r="W62" i="2"/>
  <c r="V62" i="2"/>
  <c r="W61" i="2"/>
  <c r="V61" i="2"/>
  <c r="W60" i="2"/>
  <c r="V60" i="2"/>
  <c r="W59" i="2"/>
  <c r="V59" i="2"/>
  <c r="W58" i="2"/>
  <c r="V58" i="2"/>
  <c r="W57" i="2"/>
  <c r="V57" i="2"/>
  <c r="W56" i="2"/>
  <c r="V56" i="2"/>
  <c r="W55" i="2"/>
  <c r="V55" i="2"/>
  <c r="W54" i="2"/>
  <c r="V54" i="2"/>
  <c r="W53" i="2"/>
  <c r="V53" i="2"/>
  <c r="V52" i="2"/>
  <c r="W52" i="2"/>
  <c r="Y52" i="2" s="1"/>
  <c r="Q63" i="2"/>
  <c r="P63" i="2"/>
  <c r="Q62" i="2"/>
  <c r="P62" i="2"/>
  <c r="Q61" i="2"/>
  <c r="S61" i="2" s="1"/>
  <c r="P61" i="2"/>
  <c r="Q60" i="2"/>
  <c r="P60" i="2"/>
  <c r="Q59" i="2"/>
  <c r="P59" i="2"/>
  <c r="Q58" i="2"/>
  <c r="P58" i="2"/>
  <c r="Q57" i="2"/>
  <c r="P57" i="2"/>
  <c r="Q56" i="2"/>
  <c r="P56" i="2"/>
  <c r="Q55" i="2"/>
  <c r="P55" i="2"/>
  <c r="Q54" i="2"/>
  <c r="P54" i="2"/>
  <c r="Q53" i="2"/>
  <c r="P53" i="2"/>
  <c r="Q52" i="2"/>
  <c r="P52" i="2"/>
  <c r="E68" i="2"/>
  <c r="G68" i="2" s="1"/>
  <c r="E67" i="2"/>
  <c r="G67" i="2" s="1"/>
  <c r="E66" i="2"/>
  <c r="G66" i="2" s="1"/>
  <c r="E65" i="2"/>
  <c r="G65" i="2" s="1"/>
  <c r="E64" i="2"/>
  <c r="E63" i="2"/>
  <c r="G63" i="2" s="1"/>
  <c r="E62" i="2"/>
  <c r="E61" i="2"/>
  <c r="E60" i="2"/>
  <c r="E59" i="2"/>
  <c r="E58" i="2"/>
  <c r="E57" i="2"/>
  <c r="E56" i="2"/>
  <c r="E55" i="2"/>
  <c r="E54" i="2"/>
  <c r="E53" i="2"/>
  <c r="E52" i="2"/>
  <c r="K68" i="2"/>
  <c r="M68" i="2" s="1"/>
  <c r="K67" i="2"/>
  <c r="M67" i="2" s="1"/>
  <c r="K66" i="2"/>
  <c r="K65" i="2"/>
  <c r="K64" i="2"/>
  <c r="K63" i="2"/>
  <c r="K62" i="2"/>
  <c r="K61" i="2"/>
  <c r="K60" i="2"/>
  <c r="K59" i="2"/>
  <c r="K58" i="2"/>
  <c r="K57" i="2"/>
  <c r="K56" i="2"/>
  <c r="K55" i="2"/>
  <c r="K54" i="2"/>
  <c r="K53" i="2"/>
  <c r="K52" i="2"/>
  <c r="M52" i="2" s="1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D68" i="2"/>
  <c r="D67" i="2"/>
  <c r="D66" i="2"/>
  <c r="D65" i="2"/>
  <c r="D64" i="2"/>
  <c r="D63" i="2"/>
  <c r="D62" i="2"/>
  <c r="D61" i="2"/>
  <c r="D60" i="2"/>
  <c r="D59" i="2"/>
  <c r="D58" i="2"/>
  <c r="D57" i="2"/>
  <c r="D56" i="2"/>
  <c r="D55" i="2"/>
  <c r="D54" i="2"/>
  <c r="D53" i="2"/>
  <c r="D29" i="2"/>
  <c r="M66" i="2"/>
  <c r="M65" i="2"/>
  <c r="M64" i="2"/>
  <c r="M63" i="2"/>
  <c r="AI55" i="2"/>
  <c r="AI54" i="2"/>
  <c r="AI53" i="2"/>
  <c r="AF29" i="2"/>
  <c r="T8" i="1"/>
  <c r="V8" i="1"/>
  <c r="T9" i="1"/>
  <c r="V9" i="1"/>
  <c r="T10" i="1"/>
  <c r="V10" i="1"/>
  <c r="T11" i="1"/>
  <c r="V11" i="1"/>
  <c r="G53" i="2" l="1"/>
  <c r="M42" i="2"/>
  <c r="AF53" i="2"/>
  <c r="G58" i="2"/>
  <c r="G43" i="2"/>
  <c r="AF30" i="2"/>
  <c r="Y53" i="2"/>
  <c r="M56" i="2"/>
  <c r="G59" i="2"/>
  <c r="G38" i="2"/>
  <c r="S55" i="2"/>
  <c r="AL53" i="2"/>
  <c r="Y54" i="2"/>
  <c r="Y34" i="2"/>
  <c r="G56" i="2"/>
  <c r="Y36" i="2"/>
  <c r="AF55" i="2"/>
  <c r="G61" i="2"/>
  <c r="G57" i="2"/>
  <c r="AL32" i="2"/>
  <c r="G55" i="2"/>
  <c r="G52" i="2" s="1"/>
  <c r="AF52" i="2"/>
  <c r="S53" i="2"/>
  <c r="AF54" i="2"/>
  <c r="S34" i="2"/>
  <c r="S37" i="2"/>
  <c r="S35" i="2"/>
  <c r="M36" i="2"/>
  <c r="Y39" i="2"/>
  <c r="G37" i="2"/>
  <c r="M37" i="2"/>
  <c r="Y55" i="2"/>
  <c r="G62" i="2"/>
  <c r="S32" i="2"/>
  <c r="G34" i="2"/>
  <c r="S33" i="2"/>
  <c r="Y40" i="2"/>
  <c r="G64" i="2"/>
  <c r="M34" i="2"/>
  <c r="Y38" i="2"/>
  <c r="G36" i="2"/>
  <c r="AL31" i="2"/>
  <c r="S31" i="2"/>
  <c r="M32" i="2"/>
  <c r="G35" i="2"/>
  <c r="Y37" i="2"/>
  <c r="S57" i="2"/>
  <c r="S38" i="2"/>
  <c r="M33" i="2"/>
  <c r="Y32" i="2"/>
  <c r="Y31" i="2"/>
  <c r="S36" i="2"/>
  <c r="S29" i="2"/>
  <c r="M45" i="2"/>
  <c r="M38" i="2"/>
  <c r="M30" i="2"/>
  <c r="G42" i="2"/>
  <c r="G41" i="2"/>
  <c r="G40" i="2"/>
  <c r="G33" i="2"/>
  <c r="G32" i="2"/>
  <c r="G31" i="2"/>
  <c r="G54" i="2"/>
  <c r="M59" i="2"/>
  <c r="M61" i="2"/>
  <c r="M55" i="2"/>
  <c r="M54" i="2"/>
  <c r="S54" i="2"/>
  <c r="S30" i="2"/>
  <c r="M35" i="2"/>
  <c r="M31" i="2"/>
  <c r="Y29" i="2"/>
  <c r="S52" i="2"/>
  <c r="M58" i="2"/>
  <c r="M60" i="2"/>
  <c r="M57" i="2"/>
  <c r="M62" i="2"/>
  <c r="M53" i="2"/>
  <c r="S59" i="2"/>
  <c r="S62" i="2"/>
  <c r="S63" i="2"/>
  <c r="Y59" i="2"/>
  <c r="Y58" i="2"/>
  <c r="Y57" i="2"/>
  <c r="Y61" i="2"/>
  <c r="Y60" i="2"/>
  <c r="Y63" i="2"/>
  <c r="S56" i="2"/>
  <c r="S60" i="2"/>
  <c r="Y56" i="2"/>
  <c r="S58" i="2"/>
  <c r="L8" i="1"/>
  <c r="E10" i="2"/>
  <c r="X6" i="2" l="1"/>
  <c r="R6" i="2"/>
  <c r="C22" i="2"/>
  <c r="C45" i="2" s="1"/>
  <c r="C68" i="2" s="1"/>
  <c r="C21" i="2"/>
  <c r="C44" i="2" s="1"/>
  <c r="C67" i="2" s="1"/>
  <c r="C20" i="2"/>
  <c r="C43" i="2" s="1"/>
  <c r="C66" i="2" s="1"/>
  <c r="C19" i="2"/>
  <c r="C42" i="2" s="1"/>
  <c r="C65" i="2" s="1"/>
  <c r="C18" i="2"/>
  <c r="C41" i="2" s="1"/>
  <c r="C64" i="2" s="1"/>
  <c r="C17" i="2"/>
  <c r="C40" i="2" s="1"/>
  <c r="C63" i="2" s="1"/>
  <c r="C16" i="2"/>
  <c r="C39" i="2" s="1"/>
  <c r="C62" i="2" s="1"/>
  <c r="C15" i="2"/>
  <c r="C38" i="2" s="1"/>
  <c r="C61" i="2" s="1"/>
  <c r="C14" i="2"/>
  <c r="C37" i="2" s="1"/>
  <c r="C60" i="2" s="1"/>
  <c r="C13" i="2"/>
  <c r="C36" i="2" s="1"/>
  <c r="C59" i="2" s="1"/>
  <c r="C12" i="2"/>
  <c r="C35" i="2" s="1"/>
  <c r="C58" i="2" s="1"/>
  <c r="C11" i="2"/>
  <c r="C34" i="2" s="1"/>
  <c r="C57" i="2" s="1"/>
  <c r="C10" i="2"/>
  <c r="C33" i="2" s="1"/>
  <c r="C56" i="2" s="1"/>
  <c r="C9" i="2"/>
  <c r="C32" i="2" s="1"/>
  <c r="C55" i="2" s="1"/>
  <c r="C8" i="2"/>
  <c r="C31" i="2" s="1"/>
  <c r="C54" i="2" s="1"/>
  <c r="C7" i="2"/>
  <c r="C30" i="2" s="1"/>
  <c r="C53" i="2" s="1"/>
  <c r="C6" i="2"/>
  <c r="C29" i="2" s="1"/>
  <c r="C52" i="2" s="1"/>
  <c r="I22" i="2"/>
  <c r="I45" i="2" s="1"/>
  <c r="I68" i="2" s="1"/>
  <c r="I21" i="2"/>
  <c r="I44" i="2" s="1"/>
  <c r="I67" i="2" s="1"/>
  <c r="I20" i="2"/>
  <c r="I43" i="2" s="1"/>
  <c r="I66" i="2" s="1"/>
  <c r="I19" i="2"/>
  <c r="I42" i="2" s="1"/>
  <c r="I65" i="2" s="1"/>
  <c r="I18" i="2"/>
  <c r="I41" i="2" s="1"/>
  <c r="I64" i="2" s="1"/>
  <c r="I17" i="2"/>
  <c r="I40" i="2" s="1"/>
  <c r="I63" i="2" s="1"/>
  <c r="I16" i="2"/>
  <c r="I39" i="2" s="1"/>
  <c r="I62" i="2" s="1"/>
  <c r="I15" i="2"/>
  <c r="I38" i="2" s="1"/>
  <c r="I61" i="2" s="1"/>
  <c r="I14" i="2"/>
  <c r="I37" i="2" s="1"/>
  <c r="I60" i="2" s="1"/>
  <c r="I13" i="2"/>
  <c r="I36" i="2" s="1"/>
  <c r="I59" i="2" s="1"/>
  <c r="I12" i="2"/>
  <c r="I35" i="2" s="1"/>
  <c r="I58" i="2" s="1"/>
  <c r="I11" i="2"/>
  <c r="I34" i="2" s="1"/>
  <c r="I57" i="2" s="1"/>
  <c r="I10" i="2"/>
  <c r="I33" i="2" s="1"/>
  <c r="I56" i="2" s="1"/>
  <c r="I9" i="2"/>
  <c r="I32" i="2" s="1"/>
  <c r="I55" i="2" s="1"/>
  <c r="I8" i="2"/>
  <c r="I31" i="2" s="1"/>
  <c r="I54" i="2" s="1"/>
  <c r="I7" i="2"/>
  <c r="I30" i="2" s="1"/>
  <c r="I53" i="2" s="1"/>
  <c r="I6" i="2"/>
  <c r="I29" i="2" s="1"/>
  <c r="I52" i="2" s="1"/>
  <c r="AH6" i="2"/>
  <c r="AH29" i="2" s="1"/>
  <c r="AH52" i="2" s="1"/>
  <c r="AH9" i="2"/>
  <c r="AH32" i="2" s="1"/>
  <c r="AH55" i="2" s="1"/>
  <c r="AH8" i="2"/>
  <c r="AH31" i="2" s="1"/>
  <c r="AH54" i="2" s="1"/>
  <c r="AH7" i="2"/>
  <c r="AH30" i="2" s="1"/>
  <c r="AH53" i="2" s="1"/>
  <c r="AB9" i="2"/>
  <c r="AB32" i="2" s="1"/>
  <c r="AB55" i="2" s="1"/>
  <c r="AB8" i="2"/>
  <c r="AB31" i="2" s="1"/>
  <c r="AB54" i="2" s="1"/>
  <c r="AB7" i="2"/>
  <c r="AB30" i="2" s="1"/>
  <c r="AB53" i="2" s="1"/>
  <c r="AB6" i="2"/>
  <c r="AB29" i="2" s="1"/>
  <c r="AB52" i="2" s="1"/>
  <c r="U17" i="2"/>
  <c r="U40" i="2" s="1"/>
  <c r="U63" i="2" s="1"/>
  <c r="U16" i="2"/>
  <c r="U39" i="2" s="1"/>
  <c r="U62" i="2" s="1"/>
  <c r="U15" i="2"/>
  <c r="U38" i="2" s="1"/>
  <c r="U61" i="2" s="1"/>
  <c r="U14" i="2"/>
  <c r="U37" i="2" s="1"/>
  <c r="U60" i="2" s="1"/>
  <c r="U13" i="2"/>
  <c r="U36" i="2" s="1"/>
  <c r="U59" i="2" s="1"/>
  <c r="U12" i="2"/>
  <c r="U35" i="2" s="1"/>
  <c r="U58" i="2" s="1"/>
  <c r="U11" i="2"/>
  <c r="U34" i="2" s="1"/>
  <c r="U57" i="2" s="1"/>
  <c r="U10" i="2"/>
  <c r="U33" i="2" s="1"/>
  <c r="U56" i="2" s="1"/>
  <c r="U9" i="2"/>
  <c r="U32" i="2" s="1"/>
  <c r="U55" i="2" s="1"/>
  <c r="U8" i="2"/>
  <c r="U31" i="2" s="1"/>
  <c r="U54" i="2" s="1"/>
  <c r="U7" i="2"/>
  <c r="U30" i="2" s="1"/>
  <c r="U53" i="2" s="1"/>
  <c r="U6" i="2"/>
  <c r="U29" i="2" s="1"/>
  <c r="U52" i="2" s="1"/>
  <c r="O17" i="2"/>
  <c r="O40" i="2" s="1"/>
  <c r="O63" i="2" s="1"/>
  <c r="O16" i="2"/>
  <c r="O39" i="2" s="1"/>
  <c r="O62" i="2" s="1"/>
  <c r="O15" i="2"/>
  <c r="O38" i="2" s="1"/>
  <c r="O61" i="2" s="1"/>
  <c r="O14" i="2"/>
  <c r="O37" i="2" s="1"/>
  <c r="O60" i="2" s="1"/>
  <c r="O13" i="2"/>
  <c r="O36" i="2" s="1"/>
  <c r="O59" i="2" s="1"/>
  <c r="O12" i="2"/>
  <c r="O35" i="2" s="1"/>
  <c r="O58" i="2" s="1"/>
  <c r="O11" i="2"/>
  <c r="O34" i="2" s="1"/>
  <c r="O57" i="2" s="1"/>
  <c r="O10" i="2"/>
  <c r="O33" i="2" s="1"/>
  <c r="O56" i="2" s="1"/>
  <c r="O9" i="2"/>
  <c r="O32" i="2" s="1"/>
  <c r="O55" i="2" s="1"/>
  <c r="O8" i="2"/>
  <c r="O31" i="2" s="1"/>
  <c r="O54" i="2" s="1"/>
  <c r="O7" i="2"/>
  <c r="O30" i="2" s="1"/>
  <c r="O53" i="2" s="1"/>
  <c r="O6" i="2"/>
  <c r="O29" i="2" s="1"/>
  <c r="O52" i="2" s="1"/>
  <c r="AE9" i="2"/>
  <c r="AE8" i="2"/>
  <c r="AE7" i="2"/>
  <c r="AE6" i="2"/>
  <c r="AK9" i="2"/>
  <c r="AK8" i="2"/>
  <c r="AK7" i="2"/>
  <c r="AK6" i="2"/>
  <c r="AD6" i="2"/>
  <c r="F6" i="2"/>
  <c r="X17" i="2"/>
  <c r="X16" i="2"/>
  <c r="X15" i="2"/>
  <c r="X14" i="2"/>
  <c r="X13" i="2"/>
  <c r="X12" i="2"/>
  <c r="X11" i="2"/>
  <c r="X10" i="2"/>
  <c r="X9" i="2"/>
  <c r="X8" i="2"/>
  <c r="X7" i="2"/>
  <c r="R17" i="2"/>
  <c r="R16" i="2"/>
  <c r="R15" i="2"/>
  <c r="R14" i="2"/>
  <c r="R13" i="2"/>
  <c r="R12" i="2"/>
  <c r="R11" i="2"/>
  <c r="R10" i="2"/>
  <c r="R9" i="2"/>
  <c r="R8" i="2"/>
  <c r="R7" i="2"/>
  <c r="L22" i="2"/>
  <c r="L21" i="2"/>
  <c r="L20" i="2"/>
  <c r="M20" i="2" s="1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W17" i="2"/>
  <c r="W16" i="2"/>
  <c r="W15" i="2"/>
  <c r="W14" i="2"/>
  <c r="W13" i="2"/>
  <c r="W12" i="2"/>
  <c r="W11" i="2"/>
  <c r="W10" i="2"/>
  <c r="W9" i="2"/>
  <c r="W8" i="2"/>
  <c r="W7" i="2"/>
  <c r="W6" i="2"/>
  <c r="K22" i="2"/>
  <c r="K21" i="2"/>
  <c r="K20" i="2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AJ9" i="2"/>
  <c r="AJ8" i="2"/>
  <c r="AJ7" i="2"/>
  <c r="AJ6" i="2"/>
  <c r="AD9" i="2"/>
  <c r="AD8" i="2"/>
  <c r="AD7" i="2"/>
  <c r="Q17" i="2"/>
  <c r="Q16" i="2"/>
  <c r="Q15" i="2"/>
  <c r="Q14" i="2"/>
  <c r="Q13" i="2"/>
  <c r="Q12" i="2"/>
  <c r="Q11" i="2"/>
  <c r="Q10" i="2"/>
  <c r="Q9" i="2"/>
  <c r="Q8" i="2"/>
  <c r="Q7" i="2"/>
  <c r="Q6" i="2"/>
  <c r="E22" i="2"/>
  <c r="E21" i="2"/>
  <c r="E20" i="2"/>
  <c r="E19" i="2"/>
  <c r="E18" i="2"/>
  <c r="E17" i="2"/>
  <c r="E16" i="2"/>
  <c r="E15" i="2"/>
  <c r="E14" i="2"/>
  <c r="E13" i="2"/>
  <c r="E12" i="2"/>
  <c r="E11" i="2"/>
  <c r="E9" i="2"/>
  <c r="E8" i="2"/>
  <c r="E7" i="2"/>
  <c r="E6" i="2"/>
  <c r="P6" i="2"/>
  <c r="D11" i="2"/>
  <c r="L19" i="1"/>
  <c r="P17" i="2" s="1"/>
  <c r="L18" i="1"/>
  <c r="P16" i="2" s="1"/>
  <c r="L17" i="1"/>
  <c r="P15" i="2" s="1"/>
  <c r="L16" i="1"/>
  <c r="P14" i="2" s="1"/>
  <c r="L15" i="1"/>
  <c r="P13" i="2" s="1"/>
  <c r="L14" i="1"/>
  <c r="P12" i="2" s="1"/>
  <c r="L13" i="1"/>
  <c r="P11" i="2" s="1"/>
  <c r="L12" i="1"/>
  <c r="P10" i="2" s="1"/>
  <c r="L11" i="1"/>
  <c r="P9" i="2" s="1"/>
  <c r="L10" i="1"/>
  <c r="P8" i="2" s="1"/>
  <c r="L9" i="1"/>
  <c r="P7" i="2" s="1"/>
  <c r="N19" i="1"/>
  <c r="V17" i="2" s="1"/>
  <c r="N18" i="1"/>
  <c r="V16" i="2" s="1"/>
  <c r="N17" i="1"/>
  <c r="V15" i="2" s="1"/>
  <c r="N16" i="1"/>
  <c r="V14" i="2" s="1"/>
  <c r="N15" i="1"/>
  <c r="V13" i="2" s="1"/>
  <c r="N14" i="1"/>
  <c r="V12" i="2" s="1"/>
  <c r="N13" i="1"/>
  <c r="V11" i="2" s="1"/>
  <c r="N12" i="1"/>
  <c r="V10" i="2" s="1"/>
  <c r="N11" i="1"/>
  <c r="V9" i="2" s="1"/>
  <c r="V8" i="2"/>
  <c r="N9" i="1"/>
  <c r="V7" i="2" s="1"/>
  <c r="N8" i="1"/>
  <c r="V6" i="2" s="1"/>
  <c r="AC9" i="2"/>
  <c r="AC8" i="2"/>
  <c r="AC7" i="2"/>
  <c r="AI9" i="2"/>
  <c r="AI8" i="2"/>
  <c r="AI7" i="2"/>
  <c r="AI6" i="2"/>
  <c r="AC6" i="2"/>
  <c r="F24" i="1"/>
  <c r="J22" i="2" s="1"/>
  <c r="F23" i="1"/>
  <c r="J21" i="2" s="1"/>
  <c r="F22" i="1"/>
  <c r="J20" i="2" s="1"/>
  <c r="F21" i="1"/>
  <c r="J19" i="2" s="1"/>
  <c r="F20" i="1"/>
  <c r="J18" i="2" s="1"/>
  <c r="F19" i="1"/>
  <c r="J17" i="2" s="1"/>
  <c r="F18" i="1"/>
  <c r="J16" i="2" s="1"/>
  <c r="F17" i="1"/>
  <c r="J15" i="2" s="1"/>
  <c r="F16" i="1"/>
  <c r="J14" i="2" s="1"/>
  <c r="F15" i="1"/>
  <c r="J13" i="2" s="1"/>
  <c r="D24" i="1"/>
  <c r="D22" i="2" s="1"/>
  <c r="D23" i="1"/>
  <c r="D21" i="2" s="1"/>
  <c r="D22" i="1"/>
  <c r="D20" i="2" s="1"/>
  <c r="D21" i="1"/>
  <c r="D19" i="2" s="1"/>
  <c r="D20" i="1"/>
  <c r="D18" i="2" s="1"/>
  <c r="D19" i="1"/>
  <c r="D17" i="2" s="1"/>
  <c r="D18" i="1"/>
  <c r="D16" i="2" s="1"/>
  <c r="D17" i="1"/>
  <c r="D15" i="2" s="1"/>
  <c r="D16" i="1"/>
  <c r="D14" i="2" s="1"/>
  <c r="D15" i="1"/>
  <c r="D13" i="2" s="1"/>
  <c r="F14" i="1"/>
  <c r="J12" i="2" s="1"/>
  <c r="F13" i="1"/>
  <c r="J11" i="2" s="1"/>
  <c r="F12" i="1"/>
  <c r="J10" i="2" s="1"/>
  <c r="F11" i="1"/>
  <c r="J9" i="2" s="1"/>
  <c r="F10" i="1"/>
  <c r="J8" i="2" s="1"/>
  <c r="F9" i="1"/>
  <c r="J7" i="2" s="1"/>
  <c r="F8" i="1"/>
  <c r="J6" i="2" s="1"/>
  <c r="D14" i="1"/>
  <c r="D12" i="2" s="1"/>
  <c r="D13" i="1"/>
  <c r="D12" i="1"/>
  <c r="D10" i="2" s="1"/>
  <c r="D11" i="1"/>
  <c r="D9" i="2" s="1"/>
  <c r="D10" i="1"/>
  <c r="D8" i="2" s="1"/>
  <c r="D9" i="1"/>
  <c r="D7" i="2" s="1"/>
  <c r="D6" i="2"/>
  <c r="M18" i="2" l="1"/>
  <c r="M17" i="2"/>
  <c r="G9" i="2"/>
  <c r="Y17" i="2"/>
  <c r="M9" i="2"/>
  <c r="G17" i="2"/>
  <c r="M10" i="2"/>
  <c r="M12" i="2"/>
  <c r="S12" i="2"/>
  <c r="G18" i="2"/>
  <c r="S17" i="2"/>
  <c r="G10" i="2"/>
  <c r="S9" i="2"/>
  <c r="AF6" i="2"/>
  <c r="S10" i="2"/>
  <c r="AF7" i="2"/>
  <c r="Y14" i="2"/>
  <c r="G11" i="2"/>
  <c r="G19" i="2"/>
  <c r="S11" i="2"/>
  <c r="AF8" i="2"/>
  <c r="Y7" i="2"/>
  <c r="Y15" i="2"/>
  <c r="M11" i="2"/>
  <c r="M19" i="2"/>
  <c r="G13" i="2"/>
  <c r="G21" i="2"/>
  <c r="S13" i="2"/>
  <c r="AL9" i="2"/>
  <c r="Y9" i="2"/>
  <c r="S6" i="2"/>
  <c r="M13" i="2"/>
  <c r="M21" i="2"/>
  <c r="Y13" i="2"/>
  <c r="G6" i="2"/>
  <c r="G14" i="2"/>
  <c r="G22" i="2"/>
  <c r="S14" i="2"/>
  <c r="AL6" i="2"/>
  <c r="Y10" i="2"/>
  <c r="M6" i="2"/>
  <c r="M14" i="2"/>
  <c r="M22" i="2"/>
  <c r="Y8" i="2"/>
  <c r="G7" i="2"/>
  <c r="G15" i="2"/>
  <c r="S7" i="2"/>
  <c r="S15" i="2"/>
  <c r="AL7" i="2"/>
  <c r="Y11" i="2"/>
  <c r="M7" i="2"/>
  <c r="M15" i="2"/>
  <c r="Y6" i="2"/>
  <c r="G12" i="2"/>
  <c r="G20" i="2"/>
  <c r="AF9" i="2"/>
  <c r="Y16" i="2"/>
  <c r="G8" i="2"/>
  <c r="G16" i="2"/>
  <c r="S8" i="2"/>
  <c r="S16" i="2"/>
  <c r="AL8" i="2"/>
  <c r="Y12" i="2"/>
  <c r="M8" i="2"/>
  <c r="M16" i="2"/>
  <c r="J29" i="2"/>
  <c r="D52" i="2"/>
</calcChain>
</file>

<file path=xl/sharedStrings.xml><?xml version="1.0" encoding="utf-8"?>
<sst xmlns="http://schemas.openxmlformats.org/spreadsheetml/2006/main" count="327" uniqueCount="64">
  <si>
    <t>EASY (for less than 15 garments)</t>
  </si>
  <si>
    <t>WOMEN'S WEAR (Core , Ethnic , Western fusion / Nightwear)</t>
  </si>
  <si>
    <t>MEN'S WEAR (Core , Ethnic , Western fusion / Nightwear)</t>
  </si>
  <si>
    <t>Category</t>
  </si>
  <si>
    <t>COS</t>
  </si>
  <si>
    <t>Tailor Cost</t>
  </si>
  <si>
    <t>Margin</t>
  </si>
  <si>
    <t>D2B</t>
  </si>
  <si>
    <t>D2C</t>
  </si>
  <si>
    <t>Short Kurti</t>
  </si>
  <si>
    <t>Shirt</t>
  </si>
  <si>
    <t>Kurti</t>
  </si>
  <si>
    <t>T-Shirt</t>
  </si>
  <si>
    <t>Kurti sets</t>
  </si>
  <si>
    <t>Vest</t>
  </si>
  <si>
    <t>Salwar / Anarkali suits</t>
  </si>
  <si>
    <t>Dhoti</t>
  </si>
  <si>
    <t>Co-Ords / Fusions</t>
  </si>
  <si>
    <t>Leggings / Inskirts</t>
  </si>
  <si>
    <t>Skirt</t>
  </si>
  <si>
    <t>Blouse</t>
  </si>
  <si>
    <t>Designer / Blouse</t>
  </si>
  <si>
    <t>Innerwears</t>
  </si>
  <si>
    <t>KID'S WEAR (Core , Ethnic , Western fusion / Nightwear)</t>
  </si>
  <si>
    <t>T-shirts</t>
  </si>
  <si>
    <t>Shots</t>
  </si>
  <si>
    <t>School Uniform(girls)</t>
  </si>
  <si>
    <t>399 - 699</t>
  </si>
  <si>
    <t>Trousers / Track pants</t>
  </si>
  <si>
    <t>School Uniform(Boys)</t>
  </si>
  <si>
    <t>350 - 599</t>
  </si>
  <si>
    <t>Formal Shirts &amp; Pants set</t>
  </si>
  <si>
    <t>Uniform - Men</t>
  </si>
  <si>
    <t>699 - 899</t>
  </si>
  <si>
    <t>Nightwear / Loungewear</t>
  </si>
  <si>
    <t>Uniform - Women</t>
  </si>
  <si>
    <t>399 - 899</t>
  </si>
  <si>
    <t xml:space="preserve">Lehanga Set </t>
  </si>
  <si>
    <t>Half Saree</t>
  </si>
  <si>
    <t>EFFICIENT (16 - 50 prod)</t>
  </si>
  <si>
    <t>319 (basic)</t>
  </si>
  <si>
    <t>PERIODIC (50 - 150+ prod)</t>
  </si>
  <si>
    <t>309 (basic)</t>
  </si>
  <si>
    <t>Margin D2B</t>
  </si>
  <si>
    <t>Margin D2C</t>
  </si>
  <si>
    <t>Shot / Trousers (Basic)</t>
  </si>
  <si>
    <t>Shot / Trousers (Premium)</t>
  </si>
  <si>
    <t>Pant (Basic)</t>
  </si>
  <si>
    <t>Sherwani (Basic)</t>
  </si>
  <si>
    <t>Kurta (Basic)</t>
  </si>
  <si>
    <t>Pant (Premium)</t>
  </si>
  <si>
    <t>Sherwani (Premium)</t>
  </si>
  <si>
    <t>Kurta (Premium)</t>
  </si>
  <si>
    <t>Profit Margin B2B</t>
  </si>
  <si>
    <t>Profit Margin B2C</t>
  </si>
  <si>
    <t>Actual sale Price</t>
  </si>
  <si>
    <t>Min Margin %</t>
  </si>
  <si>
    <t>Price Change Required</t>
  </si>
  <si>
    <t>Men's Wear (60 % margin )</t>
  </si>
  <si>
    <t>Women's Wear (60 % margin )</t>
  </si>
  <si>
    <t>Kid 's Wear &amp; uniforms (60 % margin )</t>
  </si>
  <si>
    <t>Product Lot - 50 products (MAX)</t>
  </si>
  <si>
    <t>Formal Shirts and pants</t>
  </si>
  <si>
    <t xml:space="preserve">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</si>
</sst>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6" formatCode="&quot;₹&quot;\ #,##0;[Red]&quot;₹&quot;\ \-#,##0"/>
    <numFmt numFmtId="8" formatCode="&quot;₹&quot;\ #,##0.00;[Red]&quot;₹&quot;\ \-#,##0.00"/>
    <numFmt numFmtId="44" formatCode="_ &quot;₹&quot;\ * #,##0.00_ ;_ &quot;₹&quot;\ * \-#,##0.00_ ;_ &quot;₹&quot;\ * &quot;-&quot;??_ ;_ @_ "/>
    <numFmt numFmtId="164" formatCode="0.000%"/>
  </numFmts>
  <fonts count="27" x14ac:knownFonts="1">
    <font>
      <sz val="10"/>
      <color rgb="FF000000"/>
      <name val="Arial"/>
      <scheme val="minor"/>
    </font>
    <font>
      <sz val="20"/>
      <color rgb="FFFFFFFF"/>
      <name val="Times New Roman"/>
    </font>
    <font>
      <sz val="10"/>
      <color theme="1"/>
      <name val="Times New Roman"/>
    </font>
    <font>
      <sz val="19"/>
      <color theme="1"/>
      <name val="Times New Roman"/>
    </font>
    <font>
      <sz val="15"/>
      <color theme="1"/>
      <name val="Times New Roman"/>
    </font>
    <font>
      <sz val="16"/>
      <color theme="1"/>
      <name val="Times New Roman"/>
    </font>
    <font>
      <sz val="13"/>
      <color theme="1"/>
      <name val="Times New Roman"/>
    </font>
    <font>
      <sz val="10"/>
      <name val="Arial"/>
    </font>
    <font>
      <b/>
      <sz val="12"/>
      <color theme="1"/>
      <name val="Times New Roman"/>
    </font>
    <font>
      <sz val="11"/>
      <color theme="1"/>
      <name val="Times New Roman"/>
    </font>
    <font>
      <sz val="10"/>
      <color rgb="FF000000"/>
      <name val="Arial"/>
      <scheme val="minor"/>
    </font>
    <font>
      <sz val="11"/>
      <color rgb="FFFF0000"/>
      <name val="Times New Roman"/>
      <family val="1"/>
    </font>
    <font>
      <sz val="11"/>
      <color theme="7" tint="-0.499984740745262"/>
      <name val="Times New Roman"/>
      <family val="1"/>
    </font>
    <font>
      <sz val="10"/>
      <color rgb="FF000000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2"/>
      <color theme="0"/>
      <name val="Times New Roman"/>
      <family val="1"/>
    </font>
    <font>
      <sz val="11"/>
      <color theme="0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  <font>
      <sz val="10"/>
      <color rgb="FF000000"/>
      <name val="Times New Roman"/>
      <family val="1"/>
    </font>
    <font>
      <sz val="13"/>
      <color rgb="FF000000"/>
      <name val="Times New Roman"/>
      <family val="1"/>
    </font>
    <font>
      <b/>
      <sz val="12"/>
      <color rgb="FF000000"/>
      <name val="Times New Roman"/>
    </font>
    <font>
      <sz val="11"/>
      <color rgb="FF000000"/>
      <name val="Times New Roman"/>
    </font>
    <font>
      <sz val="24"/>
      <color rgb="FF006100"/>
      <name val="Arial"/>
      <family val="2"/>
      <scheme val="minor"/>
    </font>
    <font>
      <sz val="11"/>
      <color theme="1"/>
      <name val="Times New Roman"/>
      <family val="1"/>
    </font>
    <font>
      <sz val="11"/>
      <color rgb="FF000000"/>
      <name val="Arial"/>
      <family val="2"/>
      <scheme val="minor"/>
    </font>
  </fonts>
  <fills count="16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FCE5CD"/>
        <bgColor rgb="FFFCE5CD"/>
      </patternFill>
    </fill>
    <fill>
      <patternFill patternType="solid">
        <fgColor rgb="FFEAD1DC"/>
        <bgColor rgb="FFEAD1DC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C6EFCE"/>
      </patternFill>
    </fill>
    <fill>
      <patternFill patternType="solid">
        <fgColor theme="0"/>
        <bgColor indexed="64"/>
      </patternFill>
    </fill>
    <fill>
      <patternFill patternType="solid">
        <fgColor rgb="FFFBDAD7"/>
        <bgColor rgb="FF000000"/>
      </patternFill>
    </fill>
    <fill>
      <patternFill patternType="solid">
        <fgColor theme="0"/>
        <bgColor rgb="FFEAD1DC"/>
      </patternFill>
    </fill>
    <fill>
      <patternFill patternType="solid">
        <fgColor theme="5" tint="0.79998168889431442"/>
        <bgColor rgb="FFEAD1DC"/>
      </patternFill>
    </fill>
    <fill>
      <patternFill patternType="solid">
        <fgColor theme="0" tint="-4.9989318521683403E-2"/>
        <bgColor indexed="64"/>
      </patternFill>
    </fill>
  </fills>
  <borders count="3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/>
    <xf numFmtId="44" fontId="10" fillId="0" borderId="0" applyFont="0" applyFill="0" applyBorder="0" applyAlignment="0" applyProtection="0"/>
    <xf numFmtId="9" fontId="10" fillId="0" borderId="0" applyFont="0" applyFill="0" applyBorder="0" applyAlignment="0" applyProtection="0"/>
    <xf numFmtId="0" fontId="15" fillId="10" borderId="0" applyNumberFormat="0" applyBorder="0" applyAlignment="0" applyProtection="0"/>
  </cellStyleXfs>
  <cellXfs count="119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2" borderId="0" xfId="0" applyFont="1" applyFill="1"/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8" fillId="0" borderId="4" xfId="0" applyFont="1" applyBorder="1" applyAlignment="1">
      <alignment horizontal="center" vertical="center"/>
    </xf>
    <xf numFmtId="0" fontId="9" fillId="0" borderId="4" xfId="0" applyFont="1" applyBorder="1" applyAlignment="1">
      <alignment horizontal="left" vertical="center"/>
    </xf>
    <xf numFmtId="0" fontId="2" fillId="0" borderId="4" xfId="0" applyFont="1" applyBorder="1"/>
    <xf numFmtId="0" fontId="9" fillId="0" borderId="4" xfId="0" applyFont="1" applyBorder="1"/>
    <xf numFmtId="0" fontId="9" fillId="0" borderId="4" xfId="0" applyFont="1" applyBorder="1" applyAlignment="1">
      <alignment wrapText="1"/>
    </xf>
    <xf numFmtId="6" fontId="9" fillId="0" borderId="4" xfId="0" applyNumberFormat="1" applyFont="1" applyBorder="1" applyAlignment="1">
      <alignment horizontal="center" vertical="center"/>
    </xf>
    <xf numFmtId="6" fontId="11" fillId="5" borderId="4" xfId="0" applyNumberFormat="1" applyFont="1" applyFill="1" applyBorder="1" applyAlignment="1">
      <alignment horizontal="center" vertical="center"/>
    </xf>
    <xf numFmtId="6" fontId="12" fillId="6" borderId="4" xfId="0" applyNumberFormat="1" applyFont="1" applyFill="1" applyBorder="1" applyAlignment="1">
      <alignment horizontal="center" vertical="center"/>
    </xf>
    <xf numFmtId="6" fontId="9" fillId="7" borderId="4" xfId="0" applyNumberFormat="1" applyFont="1" applyFill="1" applyBorder="1" applyAlignment="1">
      <alignment horizontal="center" vertical="center"/>
    </xf>
    <xf numFmtId="0" fontId="8" fillId="7" borderId="4" xfId="0" applyFont="1" applyFill="1" applyBorder="1" applyAlignment="1">
      <alignment horizontal="center" vertical="center"/>
    </xf>
    <xf numFmtId="0" fontId="8" fillId="5" borderId="4" xfId="0" applyFont="1" applyFill="1" applyBorder="1" applyAlignment="1">
      <alignment horizontal="center" vertical="center"/>
    </xf>
    <xf numFmtId="0" fontId="8" fillId="6" borderId="4" xfId="0" applyFont="1" applyFill="1" applyBorder="1" applyAlignment="1">
      <alignment horizontal="center" vertical="center"/>
    </xf>
    <xf numFmtId="0" fontId="13" fillId="0" borderId="0" xfId="0" applyFont="1"/>
    <xf numFmtId="0" fontId="9" fillId="9" borderId="17" xfId="0" applyFont="1" applyFill="1" applyBorder="1" applyAlignment="1">
      <alignment wrapText="1"/>
    </xf>
    <xf numFmtId="6" fontId="0" fillId="0" borderId="5" xfId="0" applyNumberFormat="1" applyBorder="1"/>
    <xf numFmtId="6" fontId="0" fillId="0" borderId="7" xfId="0" applyNumberFormat="1" applyBorder="1"/>
    <xf numFmtId="10" fontId="0" fillId="0" borderId="23" xfId="2" applyNumberFormat="1" applyFont="1" applyBorder="1"/>
    <xf numFmtId="10" fontId="0" fillId="0" borderId="24" xfId="2" applyNumberFormat="1" applyFont="1" applyBorder="1"/>
    <xf numFmtId="6" fontId="0" fillId="0" borderId="25" xfId="0" applyNumberFormat="1" applyBorder="1"/>
    <xf numFmtId="6" fontId="0" fillId="0" borderId="26" xfId="0" applyNumberFormat="1" applyBorder="1"/>
    <xf numFmtId="6" fontId="0" fillId="0" borderId="27" xfId="0" applyNumberFormat="1" applyBorder="1"/>
    <xf numFmtId="6" fontId="0" fillId="0" borderId="13" xfId="0" applyNumberFormat="1" applyBorder="1"/>
    <xf numFmtId="10" fontId="0" fillId="0" borderId="28" xfId="2" applyNumberFormat="1" applyFont="1" applyBorder="1"/>
    <xf numFmtId="10" fontId="0" fillId="0" borderId="29" xfId="2" applyNumberFormat="1" applyFont="1" applyBorder="1"/>
    <xf numFmtId="6" fontId="0" fillId="0" borderId="30" xfId="0" applyNumberFormat="1" applyBorder="1"/>
    <xf numFmtId="6" fontId="0" fillId="0" borderId="10" xfId="0" applyNumberFormat="1" applyBorder="1"/>
    <xf numFmtId="44" fontId="0" fillId="0" borderId="15" xfId="1" applyFont="1" applyBorder="1"/>
    <xf numFmtId="44" fontId="0" fillId="0" borderId="12" xfId="1" applyFont="1" applyBorder="1"/>
    <xf numFmtId="44" fontId="0" fillId="0" borderId="14" xfId="1" applyFont="1" applyBorder="1"/>
    <xf numFmtId="44" fontId="0" fillId="0" borderId="11" xfId="1" applyFont="1" applyBorder="1"/>
    <xf numFmtId="9" fontId="0" fillId="0" borderId="20" xfId="2" applyFont="1" applyBorder="1" applyAlignment="1"/>
    <xf numFmtId="0" fontId="14" fillId="0" borderId="18" xfId="0" applyFont="1" applyBorder="1"/>
    <xf numFmtId="0" fontId="8" fillId="0" borderId="6" xfId="0" applyFont="1" applyBorder="1" applyAlignment="1">
      <alignment horizontal="center" vertical="center" wrapText="1"/>
    </xf>
    <xf numFmtId="0" fontId="14" fillId="0" borderId="21" xfId="0" applyFont="1" applyBorder="1" applyAlignment="1">
      <alignment wrapText="1"/>
    </xf>
    <xf numFmtId="0" fontId="14" fillId="0" borderId="22" xfId="0" applyFont="1" applyBorder="1" applyAlignment="1">
      <alignment wrapText="1"/>
    </xf>
    <xf numFmtId="0" fontId="0" fillId="0" borderId="8" xfId="0" applyBorder="1" applyAlignment="1">
      <alignment wrapText="1"/>
    </xf>
    <xf numFmtId="0" fontId="14" fillId="0" borderId="9" xfId="0" applyFont="1" applyBorder="1" applyAlignment="1">
      <alignment wrapText="1"/>
    </xf>
    <xf numFmtId="0" fontId="0" fillId="0" borderId="0" xfId="0" applyAlignment="1">
      <alignment wrapText="1"/>
    </xf>
    <xf numFmtId="0" fontId="13" fillId="0" borderId="0" xfId="0" applyFont="1" applyAlignment="1">
      <alignment wrapText="1"/>
    </xf>
    <xf numFmtId="0" fontId="8" fillId="0" borderId="31" xfId="0" applyFont="1" applyBorder="1" applyAlignment="1">
      <alignment horizontal="center" vertical="center" wrapText="1"/>
    </xf>
    <xf numFmtId="0" fontId="9" fillId="8" borderId="18" xfId="0" applyFont="1" applyFill="1" applyBorder="1"/>
    <xf numFmtId="0" fontId="9" fillId="8" borderId="19" xfId="0" applyFont="1" applyFill="1" applyBorder="1"/>
    <xf numFmtId="0" fontId="9" fillId="8" borderId="20" xfId="0" applyFont="1" applyFill="1" applyBorder="1"/>
    <xf numFmtId="0" fontId="9" fillId="9" borderId="18" xfId="0" applyFont="1" applyFill="1" applyBorder="1" applyAlignment="1">
      <alignment wrapText="1"/>
    </xf>
    <xf numFmtId="0" fontId="9" fillId="9" borderId="19" xfId="0" applyFont="1" applyFill="1" applyBorder="1" applyAlignment="1">
      <alignment wrapText="1"/>
    </xf>
    <xf numFmtId="0" fontId="9" fillId="9" borderId="19" xfId="0" applyFont="1" applyFill="1" applyBorder="1"/>
    <xf numFmtId="0" fontId="9" fillId="9" borderId="20" xfId="0" applyFont="1" applyFill="1" applyBorder="1" applyAlignment="1">
      <alignment wrapText="1"/>
    </xf>
    <xf numFmtId="0" fontId="9" fillId="9" borderId="16" xfId="0" applyFont="1" applyFill="1" applyBorder="1" applyAlignment="1">
      <alignment wrapText="1"/>
    </xf>
    <xf numFmtId="0" fontId="9" fillId="9" borderId="32" xfId="0" applyFont="1" applyFill="1" applyBorder="1" applyAlignment="1">
      <alignment wrapText="1"/>
    </xf>
    <xf numFmtId="0" fontId="9" fillId="5" borderId="18" xfId="0" applyFont="1" applyFill="1" applyBorder="1" applyAlignment="1">
      <alignment horizontal="left" vertical="center"/>
    </xf>
    <xf numFmtId="0" fontId="9" fillId="5" borderId="19" xfId="0" applyFont="1" applyFill="1" applyBorder="1" applyAlignment="1">
      <alignment horizontal="left" vertical="center"/>
    </xf>
    <xf numFmtId="0" fontId="9" fillId="5" borderId="20" xfId="0" applyFont="1" applyFill="1" applyBorder="1" applyAlignment="1">
      <alignment horizontal="left" vertical="center"/>
    </xf>
    <xf numFmtId="0" fontId="9" fillId="5" borderId="18" xfId="0" applyFont="1" applyFill="1" applyBorder="1" applyAlignment="1">
      <alignment horizontal="left"/>
    </xf>
    <xf numFmtId="0" fontId="9" fillId="5" borderId="19" xfId="0" applyFont="1" applyFill="1" applyBorder="1" applyAlignment="1">
      <alignment horizontal="left"/>
    </xf>
    <xf numFmtId="0" fontId="9" fillId="5" borderId="20" xfId="0" applyFont="1" applyFill="1" applyBorder="1" applyAlignment="1">
      <alignment horizontal="left"/>
    </xf>
    <xf numFmtId="10" fontId="0" fillId="0" borderId="0" xfId="2" applyNumberFormat="1" applyFont="1"/>
    <xf numFmtId="164" fontId="0" fillId="0" borderId="0" xfId="2" applyNumberFormat="1" applyFont="1"/>
    <xf numFmtId="0" fontId="0" fillId="0" borderId="0" xfId="0"/>
    <xf numFmtId="0" fontId="16" fillId="0" borderId="0" xfId="0" applyFont="1" applyBorder="1" applyAlignment="1">
      <alignment horizontal="center" vertical="center"/>
    </xf>
    <xf numFmtId="0" fontId="17" fillId="0" borderId="0" xfId="0" applyFont="1" applyBorder="1" applyAlignment="1">
      <alignment horizontal="left" vertical="center"/>
    </xf>
    <xf numFmtId="0" fontId="16" fillId="11" borderId="0" xfId="0" applyFont="1" applyFill="1" applyBorder="1" applyAlignment="1">
      <alignment horizontal="center" vertical="center"/>
    </xf>
    <xf numFmtId="6" fontId="17" fillId="11" borderId="0" xfId="0" applyNumberFormat="1" applyFont="1" applyFill="1" applyBorder="1" applyAlignment="1">
      <alignment horizontal="center" vertical="center"/>
    </xf>
    <xf numFmtId="0" fontId="18" fillId="0" borderId="4" xfId="0" applyFont="1" applyBorder="1" applyAlignment="1">
      <alignment horizontal="center" vertical="center"/>
    </xf>
    <xf numFmtId="0" fontId="18" fillId="12" borderId="3" xfId="0" applyFont="1" applyFill="1" applyBorder="1" applyAlignment="1">
      <alignment horizontal="center" vertical="center"/>
    </xf>
    <xf numFmtId="0" fontId="19" fillId="0" borderId="33" xfId="0" applyFont="1" applyBorder="1" applyAlignment="1">
      <alignment horizontal="left" vertical="center"/>
    </xf>
    <xf numFmtId="0" fontId="19" fillId="0" borderId="33" xfId="0" applyFont="1" applyBorder="1"/>
    <xf numFmtId="0" fontId="20" fillId="0" borderId="33" xfId="0" applyFont="1" applyBorder="1"/>
    <xf numFmtId="0" fontId="21" fillId="13" borderId="0" xfId="0" applyFont="1" applyFill="1" applyBorder="1" applyAlignment="1">
      <alignment horizontal="center" vertical="center"/>
    </xf>
    <xf numFmtId="0" fontId="22" fillId="0" borderId="4" xfId="0" applyFont="1" applyBorder="1" applyAlignment="1">
      <alignment horizontal="center" vertical="center"/>
    </xf>
    <xf numFmtId="0" fontId="23" fillId="0" borderId="33" xfId="0" applyFont="1" applyBorder="1" applyAlignment="1">
      <alignment wrapText="1"/>
    </xf>
    <xf numFmtId="0" fontId="23" fillId="0" borderId="33" xfId="0" applyFont="1" applyBorder="1"/>
    <xf numFmtId="6" fontId="11" fillId="12" borderId="33" xfId="0" applyNumberFormat="1" applyFont="1" applyFill="1" applyBorder="1" applyAlignment="1">
      <alignment horizontal="center" vertical="center"/>
    </xf>
    <xf numFmtId="10" fontId="0" fillId="0" borderId="18" xfId="2" applyNumberFormat="1" applyFont="1" applyBorder="1"/>
    <xf numFmtId="10" fontId="0" fillId="0" borderId="19" xfId="2" applyNumberFormat="1" applyFont="1" applyBorder="1"/>
    <xf numFmtId="10" fontId="0" fillId="0" borderId="20" xfId="2" applyNumberFormat="1" applyFont="1" applyBorder="1"/>
    <xf numFmtId="6" fontId="11" fillId="5" borderId="1" xfId="0" applyNumberFormat="1" applyFont="1" applyFill="1" applyBorder="1" applyAlignment="1">
      <alignment horizontal="center" vertical="center"/>
    </xf>
    <xf numFmtId="8" fontId="0" fillId="0" borderId="7" xfId="0" applyNumberFormat="1" applyBorder="1"/>
    <xf numFmtId="0" fontId="0" fillId="0" borderId="0" xfId="0"/>
    <xf numFmtId="0" fontId="25" fillId="0" borderId="4" xfId="0" applyFont="1" applyBorder="1"/>
    <xf numFmtId="0" fontId="25" fillId="0" borderId="36" xfId="0" applyFont="1" applyBorder="1"/>
    <xf numFmtId="0" fontId="25" fillId="0" borderId="5" xfId="0" applyFont="1" applyBorder="1"/>
    <xf numFmtId="0" fontId="26" fillId="0" borderId="5" xfId="0" applyFont="1" applyBorder="1"/>
    <xf numFmtId="6" fontId="0" fillId="0" borderId="0" xfId="0" applyNumberFormat="1" applyAlignment="1">
      <alignment vertical="center" wrapText="1"/>
    </xf>
    <xf numFmtId="0" fontId="8" fillId="0" borderId="36" xfId="0" applyFont="1" applyBorder="1" applyAlignment="1">
      <alignment horizontal="center" vertical="center"/>
    </xf>
    <xf numFmtId="0" fontId="8" fillId="0" borderId="5" xfId="0" applyFont="1" applyBorder="1" applyAlignment="1">
      <alignment horizontal="center" vertical="center"/>
    </xf>
    <xf numFmtId="0" fontId="9" fillId="0" borderId="4" xfId="0" applyFont="1" applyBorder="1" applyAlignment="1">
      <alignment vertical="center"/>
    </xf>
    <xf numFmtId="0" fontId="9" fillId="0" borderId="4" xfId="0" applyFont="1" applyBorder="1" applyAlignment="1"/>
    <xf numFmtId="6" fontId="19" fillId="0" borderId="5" xfId="0" applyNumberFormat="1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2" fillId="0" borderId="4" xfId="0" applyFont="1" applyBorder="1" applyAlignment="1"/>
    <xf numFmtId="0" fontId="25" fillId="7" borderId="4" xfId="0" applyFont="1" applyFill="1" applyBorder="1" applyAlignment="1">
      <alignment horizontal="center" vertical="center"/>
    </xf>
    <xf numFmtId="0" fontId="25" fillId="7" borderId="4" xfId="0" applyFont="1" applyFill="1" applyBorder="1" applyAlignment="1">
      <alignment horizontal="center"/>
    </xf>
    <xf numFmtId="6" fontId="25" fillId="6" borderId="4" xfId="0" applyNumberFormat="1" applyFont="1" applyFill="1" applyBorder="1" applyAlignment="1">
      <alignment horizontal="center"/>
    </xf>
    <xf numFmtId="0" fontId="8" fillId="6" borderId="1" xfId="0" applyFont="1" applyFill="1" applyBorder="1" applyAlignment="1">
      <alignment horizontal="center" vertical="center"/>
    </xf>
    <xf numFmtId="6" fontId="25" fillId="6" borderId="1" xfId="0" applyNumberFormat="1" applyFont="1" applyFill="1" applyBorder="1" applyAlignment="1">
      <alignment horizontal="center"/>
    </xf>
    <xf numFmtId="6" fontId="25" fillId="6" borderId="2" xfId="0" applyNumberFormat="1" applyFont="1" applyFill="1" applyBorder="1" applyAlignment="1">
      <alignment horizontal="center"/>
    </xf>
    <xf numFmtId="8" fontId="25" fillId="0" borderId="4" xfId="0" applyNumberFormat="1" applyFont="1" applyBorder="1" applyAlignment="1">
      <alignment horizontal="center"/>
    </xf>
    <xf numFmtId="6" fontId="2" fillId="0" borderId="4" xfId="0" applyNumberFormat="1" applyFont="1" applyBorder="1"/>
    <xf numFmtId="6" fontId="2" fillId="6" borderId="4" xfId="0" applyNumberFormat="1" applyFont="1" applyFill="1" applyBorder="1"/>
    <xf numFmtId="0" fontId="8" fillId="15" borderId="4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0" fillId="0" borderId="0" xfId="0"/>
    <xf numFmtId="0" fontId="6" fillId="4" borderId="1" xfId="0" applyFont="1" applyFill="1" applyBorder="1" applyAlignment="1">
      <alignment horizontal="center" vertical="center"/>
    </xf>
    <xf numFmtId="0" fontId="6" fillId="4" borderId="2" xfId="0" applyFont="1" applyFill="1" applyBorder="1" applyAlignment="1">
      <alignment horizontal="center" vertical="center"/>
    </xf>
    <xf numFmtId="0" fontId="6" fillId="4" borderId="3" xfId="0" applyFont="1" applyFill="1" applyBorder="1" applyAlignment="1">
      <alignment horizontal="center" vertical="center"/>
    </xf>
    <xf numFmtId="0" fontId="7" fillId="0" borderId="2" xfId="0" applyFont="1" applyBorder="1"/>
    <xf numFmtId="0" fontId="7" fillId="0" borderId="3" xfId="0" applyFont="1" applyBorder="1"/>
    <xf numFmtId="0" fontId="7" fillId="0" borderId="37" xfId="0" applyFont="1" applyBorder="1"/>
    <xf numFmtId="0" fontId="21" fillId="14" borderId="34" xfId="0" applyFont="1" applyFill="1" applyBorder="1" applyAlignment="1">
      <alignment horizontal="center" vertical="center"/>
    </xf>
    <xf numFmtId="0" fontId="21" fillId="14" borderId="35" xfId="0" applyFont="1" applyFill="1" applyBorder="1" applyAlignment="1">
      <alignment horizontal="center" vertical="center"/>
    </xf>
    <xf numFmtId="0" fontId="24" fillId="10" borderId="34" xfId="3" applyFont="1" applyBorder="1" applyAlignment="1">
      <alignment horizontal="center"/>
    </xf>
    <xf numFmtId="0" fontId="24" fillId="10" borderId="24" xfId="3" applyFont="1" applyBorder="1" applyAlignment="1">
      <alignment horizontal="center"/>
    </xf>
    <xf numFmtId="0" fontId="24" fillId="10" borderId="35" xfId="3" applyFont="1" applyBorder="1" applyAlignment="1">
      <alignment horizontal="center"/>
    </xf>
  </cellXfs>
  <cellStyles count="4">
    <cellStyle name="Currency" xfId="1" builtinId="4"/>
    <cellStyle name="Good" xfId="3" builtinId="26"/>
    <cellStyle name="Normal" xfId="0" builtinId="0"/>
    <cellStyle name="Percent" xfId="2" builtinId="5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microsoft.com/office/2017/10/relationships/person" Target="persons/person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B1007"/>
  <sheetViews>
    <sheetView topLeftCell="H1" zoomScaleNormal="100" workbookViewId="0">
      <selection activeCell="U8" sqref="U8"/>
    </sheetView>
  </sheetViews>
  <sheetFormatPr defaultColWidth="12.6640625" defaultRowHeight="13.2" x14ac:dyDescent="0.25"/>
  <cols>
    <col min="1" max="1" width="20.109375" customWidth="1"/>
    <col min="9" max="9" width="18.6640625" customWidth="1"/>
  </cols>
  <sheetData>
    <row r="1" spans="1:28" ht="25.2" customHeight="1" x14ac:dyDescent="0.45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</row>
    <row r="2" spans="1:28" ht="13.2" customHeight="1" x14ac:dyDescent="0.25">
      <c r="A2" s="106" t="s">
        <v>0</v>
      </c>
      <c r="B2" s="107"/>
      <c r="C2" s="107"/>
      <c r="D2" s="107"/>
      <c r="E2" s="2"/>
      <c r="F2" s="2"/>
      <c r="G2" s="2"/>
      <c r="H2" s="2"/>
      <c r="I2" s="106" t="s">
        <v>0</v>
      </c>
      <c r="J2" s="107"/>
      <c r="K2" s="107"/>
      <c r="L2" s="107"/>
      <c r="M2" s="2"/>
      <c r="N2" s="2"/>
      <c r="O2" s="2"/>
      <c r="P2" s="2"/>
      <c r="Q2" s="106" t="s">
        <v>0</v>
      </c>
      <c r="R2" s="107"/>
      <c r="S2" s="107"/>
      <c r="T2" s="107"/>
      <c r="U2" s="2"/>
      <c r="V2" s="2"/>
      <c r="W2" s="2"/>
      <c r="X2" s="2"/>
      <c r="Y2" s="2"/>
      <c r="Z2" s="2"/>
      <c r="AA2" s="2"/>
      <c r="AB2" s="2"/>
    </row>
    <row r="3" spans="1:28" ht="13.2" customHeight="1" x14ac:dyDescent="0.25">
      <c r="A3" s="107"/>
      <c r="B3" s="107"/>
      <c r="C3" s="107"/>
      <c r="D3" s="107"/>
      <c r="E3" s="2"/>
      <c r="F3" s="2"/>
      <c r="G3" s="2"/>
      <c r="H3" s="2"/>
      <c r="I3" s="107"/>
      <c r="J3" s="107"/>
      <c r="K3" s="107"/>
      <c r="L3" s="107"/>
      <c r="M3" s="2"/>
      <c r="N3" s="2"/>
      <c r="O3" s="2"/>
      <c r="P3" s="2"/>
      <c r="Q3" s="107"/>
      <c r="R3" s="107"/>
      <c r="S3" s="107"/>
      <c r="T3" s="107"/>
      <c r="U3" s="2"/>
      <c r="V3" s="2"/>
      <c r="W3" s="2"/>
      <c r="X3" s="2"/>
      <c r="Y3" s="2"/>
      <c r="Z3" s="2"/>
      <c r="AA3" s="2"/>
      <c r="AB3" s="2"/>
    </row>
    <row r="4" spans="1:28" ht="24.6" x14ac:dyDescent="0.45">
      <c r="A4" s="3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</row>
    <row r="5" spans="1:28" ht="21" x14ac:dyDescent="0.25">
      <c r="A5" s="4"/>
      <c r="B5" s="4"/>
      <c r="C5" s="4"/>
      <c r="D5" s="4"/>
      <c r="E5" s="4"/>
      <c r="F5" s="4"/>
      <c r="G5" s="4"/>
      <c r="H5" s="5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  <c r="AB5" s="2"/>
    </row>
    <row r="6" spans="1:28" ht="16.8" x14ac:dyDescent="0.25">
      <c r="A6" s="108" t="s">
        <v>1</v>
      </c>
      <c r="B6" s="111"/>
      <c r="C6" s="111"/>
      <c r="D6" s="111"/>
      <c r="E6" s="111"/>
      <c r="F6" s="111"/>
      <c r="G6" s="112"/>
      <c r="H6" s="2"/>
      <c r="I6" s="108" t="s">
        <v>2</v>
      </c>
      <c r="J6" s="111"/>
      <c r="K6" s="111"/>
      <c r="L6" s="111"/>
      <c r="M6" s="111"/>
      <c r="N6" s="111"/>
      <c r="O6" s="112"/>
      <c r="P6" s="2"/>
      <c r="Q6" s="108" t="s">
        <v>23</v>
      </c>
      <c r="R6" s="109"/>
      <c r="S6" s="109"/>
      <c r="T6" s="109"/>
      <c r="U6" s="109"/>
      <c r="V6" s="109"/>
      <c r="W6" s="110"/>
      <c r="X6" s="2"/>
      <c r="Y6" s="2"/>
      <c r="Z6" s="2"/>
      <c r="AA6" s="2"/>
      <c r="AB6" s="2"/>
    </row>
    <row r="7" spans="1:28" ht="15.6" x14ac:dyDescent="0.25">
      <c r="A7" s="6" t="s">
        <v>3</v>
      </c>
      <c r="B7" s="15" t="s">
        <v>4</v>
      </c>
      <c r="C7" s="16" t="s">
        <v>5</v>
      </c>
      <c r="D7" s="17" t="s">
        <v>43</v>
      </c>
      <c r="E7" s="6" t="s">
        <v>7</v>
      </c>
      <c r="F7" s="17" t="s">
        <v>44</v>
      </c>
      <c r="G7" s="6" t="s">
        <v>8</v>
      </c>
      <c r="H7" s="2"/>
      <c r="I7" s="6" t="s">
        <v>3</v>
      </c>
      <c r="J7" s="6" t="s">
        <v>4</v>
      </c>
      <c r="K7" s="6" t="s">
        <v>5</v>
      </c>
      <c r="L7" s="6" t="s">
        <v>43</v>
      </c>
      <c r="M7" s="6" t="s">
        <v>7</v>
      </c>
      <c r="N7" s="6" t="s">
        <v>44</v>
      </c>
      <c r="O7" s="6" t="s">
        <v>8</v>
      </c>
      <c r="P7" s="2"/>
      <c r="Q7" s="6" t="s">
        <v>3</v>
      </c>
      <c r="R7" s="6" t="s">
        <v>4</v>
      </c>
      <c r="S7" s="6" t="s">
        <v>5</v>
      </c>
      <c r="T7" s="6" t="s">
        <v>43</v>
      </c>
      <c r="U7" s="6" t="s">
        <v>7</v>
      </c>
      <c r="V7" s="6" t="s">
        <v>44</v>
      </c>
      <c r="W7" s="6" t="s">
        <v>8</v>
      </c>
      <c r="X7" s="2"/>
      <c r="Y7" s="2"/>
      <c r="Z7" s="2"/>
      <c r="AA7" s="2"/>
      <c r="AB7" s="2"/>
    </row>
    <row r="8" spans="1:28" ht="27.6" x14ac:dyDescent="0.25">
      <c r="A8" s="7" t="s">
        <v>9</v>
      </c>
      <c r="B8" s="14">
        <v>184</v>
      </c>
      <c r="C8" s="12">
        <v>75</v>
      </c>
      <c r="D8" s="13">
        <f>E8-C8</f>
        <v>94</v>
      </c>
      <c r="E8" s="11">
        <v>169</v>
      </c>
      <c r="F8" s="13">
        <f>G8-C8</f>
        <v>174</v>
      </c>
      <c r="G8" s="11">
        <v>249</v>
      </c>
      <c r="H8" s="2"/>
      <c r="I8" s="9" t="s">
        <v>10</v>
      </c>
      <c r="J8" s="14">
        <v>233</v>
      </c>
      <c r="K8" s="12">
        <v>120</v>
      </c>
      <c r="L8" s="13">
        <f>M8-K8</f>
        <v>130</v>
      </c>
      <c r="M8" s="11">
        <v>250</v>
      </c>
      <c r="N8" s="13">
        <f>O8-K8</f>
        <v>180</v>
      </c>
      <c r="O8" s="11">
        <v>300</v>
      </c>
      <c r="P8" s="2"/>
      <c r="Q8" s="10" t="s">
        <v>26</v>
      </c>
      <c r="R8" s="14" t="s">
        <v>27</v>
      </c>
      <c r="S8" s="12">
        <v>120</v>
      </c>
      <c r="T8" s="13">
        <f>U8-S8</f>
        <v>209</v>
      </c>
      <c r="U8" s="11">
        <v>329</v>
      </c>
      <c r="V8" s="13">
        <f>W8-U8</f>
        <v>170</v>
      </c>
      <c r="W8" s="11">
        <v>499</v>
      </c>
      <c r="X8" s="2"/>
      <c r="Y8" s="2"/>
      <c r="Z8" s="2"/>
      <c r="AA8" s="2"/>
      <c r="AB8" s="2"/>
    </row>
    <row r="9" spans="1:28" ht="41.4" x14ac:dyDescent="0.25">
      <c r="A9" s="7" t="s">
        <v>11</v>
      </c>
      <c r="B9" s="14">
        <v>278</v>
      </c>
      <c r="C9" s="12">
        <v>90</v>
      </c>
      <c r="D9" s="13">
        <f t="shared" ref="D9:D24" si="0">E9-C9</f>
        <v>129</v>
      </c>
      <c r="E9" s="11">
        <v>219</v>
      </c>
      <c r="F9" s="13">
        <f t="shared" ref="F9:F24" si="1">G9-C9</f>
        <v>249</v>
      </c>
      <c r="G9" s="11">
        <v>339</v>
      </c>
      <c r="H9" s="2"/>
      <c r="I9" s="9" t="s">
        <v>12</v>
      </c>
      <c r="J9" s="14">
        <v>199</v>
      </c>
      <c r="K9" s="12">
        <v>80</v>
      </c>
      <c r="L9" s="13">
        <f t="shared" ref="L9:L19" si="2">M9-K9</f>
        <v>100</v>
      </c>
      <c r="M9" s="11">
        <v>180</v>
      </c>
      <c r="N9" s="13">
        <f t="shared" ref="N9:N19" si="3">O9-K9</f>
        <v>140</v>
      </c>
      <c r="O9" s="11">
        <v>220</v>
      </c>
      <c r="P9" s="2"/>
      <c r="Q9" s="10" t="s">
        <v>29</v>
      </c>
      <c r="R9" s="14" t="s">
        <v>30</v>
      </c>
      <c r="S9" s="12">
        <v>110</v>
      </c>
      <c r="T9" s="13">
        <f t="shared" ref="T9:T11" si="4">U9-S9</f>
        <v>189</v>
      </c>
      <c r="U9" s="11">
        <v>299</v>
      </c>
      <c r="V9" s="13">
        <f t="shared" ref="V9:V11" si="5">W9-U9</f>
        <v>150</v>
      </c>
      <c r="W9" s="11">
        <v>449</v>
      </c>
      <c r="X9" s="2"/>
      <c r="Y9" s="2"/>
      <c r="Z9" s="2"/>
      <c r="AA9" s="2"/>
      <c r="AB9" s="2"/>
    </row>
    <row r="10" spans="1:28" ht="13.8" x14ac:dyDescent="0.25">
      <c r="A10" s="7" t="s">
        <v>13</v>
      </c>
      <c r="B10" s="14">
        <v>349</v>
      </c>
      <c r="C10" s="12">
        <v>130</v>
      </c>
      <c r="D10" s="13">
        <f t="shared" si="0"/>
        <v>245</v>
      </c>
      <c r="E10" s="11">
        <v>375</v>
      </c>
      <c r="F10" s="13">
        <f t="shared" si="1"/>
        <v>350</v>
      </c>
      <c r="G10" s="11">
        <v>480</v>
      </c>
      <c r="H10" s="2"/>
      <c r="I10" s="9" t="s">
        <v>14</v>
      </c>
      <c r="J10" s="14">
        <v>111</v>
      </c>
      <c r="K10" s="12">
        <v>50</v>
      </c>
      <c r="L10" s="13">
        <f t="shared" si="2"/>
        <v>50</v>
      </c>
      <c r="M10" s="11">
        <v>100</v>
      </c>
      <c r="N10" s="13">
        <f>O10-K10</f>
        <v>99</v>
      </c>
      <c r="O10" s="11">
        <v>149</v>
      </c>
      <c r="P10" s="2"/>
      <c r="Q10" s="9" t="s">
        <v>32</v>
      </c>
      <c r="R10" s="14" t="s">
        <v>33</v>
      </c>
      <c r="S10" s="12">
        <v>200</v>
      </c>
      <c r="T10" s="13">
        <f t="shared" si="4"/>
        <v>249</v>
      </c>
      <c r="U10" s="11">
        <v>449</v>
      </c>
      <c r="V10" s="13">
        <f t="shared" si="5"/>
        <v>230</v>
      </c>
      <c r="W10" s="11">
        <v>679</v>
      </c>
      <c r="X10" s="2"/>
      <c r="Y10" s="2"/>
      <c r="Z10" s="2"/>
      <c r="AA10" s="2"/>
      <c r="AB10" s="2"/>
    </row>
    <row r="11" spans="1:28" ht="27.6" x14ac:dyDescent="0.25">
      <c r="A11" s="7" t="s">
        <v>15</v>
      </c>
      <c r="B11" s="14">
        <v>389</v>
      </c>
      <c r="C11" s="12">
        <v>180</v>
      </c>
      <c r="D11" s="13">
        <f t="shared" si="0"/>
        <v>389</v>
      </c>
      <c r="E11" s="11">
        <v>569</v>
      </c>
      <c r="F11" s="13">
        <f t="shared" si="1"/>
        <v>440</v>
      </c>
      <c r="G11" s="11">
        <v>620</v>
      </c>
      <c r="H11" s="2"/>
      <c r="I11" s="9" t="s">
        <v>16</v>
      </c>
      <c r="J11" s="14">
        <v>110</v>
      </c>
      <c r="K11" s="12">
        <v>50</v>
      </c>
      <c r="L11" s="13">
        <f t="shared" si="2"/>
        <v>50</v>
      </c>
      <c r="M11" s="11">
        <v>100</v>
      </c>
      <c r="N11" s="13">
        <f t="shared" si="3"/>
        <v>99</v>
      </c>
      <c r="O11" s="11">
        <v>149</v>
      </c>
      <c r="P11" s="2"/>
      <c r="Q11" s="10" t="s">
        <v>35</v>
      </c>
      <c r="R11" s="14" t="s">
        <v>36</v>
      </c>
      <c r="S11" s="12">
        <v>180</v>
      </c>
      <c r="T11" s="13">
        <f t="shared" si="4"/>
        <v>219</v>
      </c>
      <c r="U11" s="11">
        <v>399</v>
      </c>
      <c r="V11" s="13">
        <f t="shared" si="5"/>
        <v>200</v>
      </c>
      <c r="W11" s="11">
        <v>599</v>
      </c>
      <c r="X11" s="2"/>
      <c r="Y11" s="2"/>
      <c r="Z11" s="2"/>
      <c r="AA11" s="2"/>
      <c r="AB11" s="2"/>
    </row>
    <row r="12" spans="1:28" ht="13.8" x14ac:dyDescent="0.25">
      <c r="A12" s="7" t="s">
        <v>17</v>
      </c>
      <c r="B12" s="14">
        <v>326</v>
      </c>
      <c r="C12" s="12">
        <v>160</v>
      </c>
      <c r="D12" s="13">
        <f t="shared" si="0"/>
        <v>229</v>
      </c>
      <c r="E12" s="11">
        <v>389</v>
      </c>
      <c r="F12" s="13">
        <f t="shared" si="1"/>
        <v>323</v>
      </c>
      <c r="G12" s="11">
        <v>483</v>
      </c>
      <c r="H12" s="2"/>
      <c r="I12" s="9" t="s">
        <v>49</v>
      </c>
      <c r="J12" s="14">
        <v>300</v>
      </c>
      <c r="K12" s="12">
        <v>120</v>
      </c>
      <c r="L12" s="13">
        <f t="shared" si="2"/>
        <v>159</v>
      </c>
      <c r="M12" s="11">
        <v>279</v>
      </c>
      <c r="N12" s="13">
        <f t="shared" si="3"/>
        <v>229</v>
      </c>
      <c r="O12" s="11">
        <v>349</v>
      </c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  <c r="AB12" s="2"/>
    </row>
    <row r="13" spans="1:28" ht="13.8" x14ac:dyDescent="0.25">
      <c r="A13" s="9" t="s">
        <v>18</v>
      </c>
      <c r="B13" s="14">
        <v>127</v>
      </c>
      <c r="C13" s="12">
        <v>45</v>
      </c>
      <c r="D13" s="13">
        <f t="shared" si="0"/>
        <v>84</v>
      </c>
      <c r="E13" s="11">
        <v>129</v>
      </c>
      <c r="F13" s="13">
        <f t="shared" si="1"/>
        <v>152</v>
      </c>
      <c r="G13" s="11">
        <v>197</v>
      </c>
      <c r="H13" s="2"/>
      <c r="I13" s="9" t="s">
        <v>52</v>
      </c>
      <c r="J13" s="14">
        <v>350</v>
      </c>
      <c r="K13" s="12">
        <v>140</v>
      </c>
      <c r="L13" s="13">
        <f t="shared" si="2"/>
        <v>319</v>
      </c>
      <c r="M13" s="11">
        <v>459</v>
      </c>
      <c r="N13" s="13">
        <f t="shared" si="3"/>
        <v>259</v>
      </c>
      <c r="O13" s="11">
        <v>399</v>
      </c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  <c r="AB13" s="2"/>
    </row>
    <row r="14" spans="1:28" ht="13.8" x14ac:dyDescent="0.25">
      <c r="A14" s="9" t="s">
        <v>19</v>
      </c>
      <c r="B14" s="14">
        <v>149</v>
      </c>
      <c r="C14" s="12">
        <v>70</v>
      </c>
      <c r="D14" s="13">
        <f t="shared" si="0"/>
        <v>119</v>
      </c>
      <c r="E14" s="11">
        <v>189</v>
      </c>
      <c r="F14" s="13">
        <f t="shared" si="1"/>
        <v>229</v>
      </c>
      <c r="G14" s="11">
        <v>299</v>
      </c>
      <c r="H14" s="2"/>
      <c r="I14" s="9" t="s">
        <v>48</v>
      </c>
      <c r="J14" s="14">
        <v>480</v>
      </c>
      <c r="K14" s="12">
        <v>600</v>
      </c>
      <c r="L14" s="13">
        <f t="shared" si="2"/>
        <v>999</v>
      </c>
      <c r="M14" s="11">
        <v>1599</v>
      </c>
      <c r="N14" s="13">
        <f t="shared" si="3"/>
        <v>1299</v>
      </c>
      <c r="O14" s="11">
        <v>1899</v>
      </c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  <c r="AB14" s="2"/>
    </row>
    <row r="15" spans="1:28" ht="13.8" x14ac:dyDescent="0.25">
      <c r="A15" s="9" t="s">
        <v>20</v>
      </c>
      <c r="B15" s="14">
        <v>250</v>
      </c>
      <c r="C15" s="12">
        <v>100</v>
      </c>
      <c r="D15" s="13">
        <f t="shared" si="0"/>
        <v>150</v>
      </c>
      <c r="E15" s="11">
        <v>250</v>
      </c>
      <c r="F15" s="13">
        <f t="shared" si="1"/>
        <v>210</v>
      </c>
      <c r="G15" s="11">
        <v>310</v>
      </c>
      <c r="H15" s="2"/>
      <c r="I15" s="9" t="s">
        <v>51</v>
      </c>
      <c r="J15" s="14">
        <v>600</v>
      </c>
      <c r="K15" s="12">
        <v>650</v>
      </c>
      <c r="L15" s="13">
        <f t="shared" si="2"/>
        <v>1450</v>
      </c>
      <c r="M15" s="11">
        <v>2100</v>
      </c>
      <c r="N15" s="13">
        <f t="shared" si="3"/>
        <v>1850</v>
      </c>
      <c r="O15" s="11">
        <v>2500</v>
      </c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  <c r="AB15" s="2"/>
    </row>
    <row r="16" spans="1:28" ht="13.8" x14ac:dyDescent="0.25">
      <c r="A16" s="9" t="s">
        <v>21</v>
      </c>
      <c r="B16" s="14">
        <v>399</v>
      </c>
      <c r="C16" s="12">
        <v>200</v>
      </c>
      <c r="D16" s="13">
        <f t="shared" si="0"/>
        <v>250</v>
      </c>
      <c r="E16" s="11">
        <v>450</v>
      </c>
      <c r="F16" s="13">
        <f t="shared" si="1"/>
        <v>369</v>
      </c>
      <c r="G16" s="11">
        <v>569</v>
      </c>
      <c r="H16" s="2"/>
      <c r="I16" s="9" t="s">
        <v>47</v>
      </c>
      <c r="J16" s="14">
        <v>299</v>
      </c>
      <c r="K16" s="12">
        <v>130</v>
      </c>
      <c r="L16" s="13">
        <f t="shared" si="2"/>
        <v>250</v>
      </c>
      <c r="M16" s="11">
        <v>380</v>
      </c>
      <c r="N16" s="13">
        <f t="shared" si="3"/>
        <v>280</v>
      </c>
      <c r="O16" s="11">
        <v>410</v>
      </c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  <c r="AB16" s="2"/>
    </row>
    <row r="17" spans="1:28" ht="13.8" x14ac:dyDescent="0.25">
      <c r="A17" s="9" t="s">
        <v>22</v>
      </c>
      <c r="B17" s="14">
        <v>227</v>
      </c>
      <c r="C17" s="12">
        <v>80</v>
      </c>
      <c r="D17" s="13">
        <f t="shared" si="0"/>
        <v>130</v>
      </c>
      <c r="E17" s="11">
        <v>210</v>
      </c>
      <c r="F17" s="13">
        <f t="shared" si="1"/>
        <v>192</v>
      </c>
      <c r="G17" s="11">
        <v>272</v>
      </c>
      <c r="H17" s="2"/>
      <c r="I17" s="9" t="s">
        <v>50</v>
      </c>
      <c r="J17" s="14">
        <v>310</v>
      </c>
      <c r="K17" s="12">
        <v>130</v>
      </c>
      <c r="L17" s="13">
        <f t="shared" si="2"/>
        <v>320</v>
      </c>
      <c r="M17" s="11">
        <v>450</v>
      </c>
      <c r="N17" s="13">
        <f t="shared" si="3"/>
        <v>369</v>
      </c>
      <c r="O17" s="11">
        <v>499</v>
      </c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  <c r="AB17" s="2"/>
    </row>
    <row r="18" spans="1:28" ht="13.8" x14ac:dyDescent="0.25">
      <c r="A18" s="9" t="s">
        <v>24</v>
      </c>
      <c r="B18" s="14">
        <v>199</v>
      </c>
      <c r="C18" s="12">
        <v>70</v>
      </c>
      <c r="D18" s="13">
        <f t="shared" si="0"/>
        <v>98</v>
      </c>
      <c r="E18" s="11">
        <v>168</v>
      </c>
      <c r="F18" s="13">
        <f t="shared" si="1"/>
        <v>149</v>
      </c>
      <c r="G18" s="11">
        <v>219</v>
      </c>
      <c r="H18" s="2"/>
      <c r="I18" s="9" t="s">
        <v>45</v>
      </c>
      <c r="J18" s="14">
        <v>199</v>
      </c>
      <c r="K18" s="12">
        <v>90</v>
      </c>
      <c r="L18" s="13">
        <f t="shared" si="2"/>
        <v>109</v>
      </c>
      <c r="M18" s="11">
        <v>199</v>
      </c>
      <c r="N18" s="13">
        <f t="shared" si="3"/>
        <v>149</v>
      </c>
      <c r="O18" s="11">
        <v>239</v>
      </c>
      <c r="P18" s="2"/>
      <c r="Q18" s="2"/>
      <c r="Y18" s="2"/>
      <c r="Z18" s="2"/>
      <c r="AA18" s="2"/>
      <c r="AB18" s="2"/>
    </row>
    <row r="19" spans="1:28" ht="13.8" x14ac:dyDescent="0.25">
      <c r="A19" s="9" t="s">
        <v>25</v>
      </c>
      <c r="B19" s="14">
        <v>199</v>
      </c>
      <c r="C19" s="12">
        <v>80</v>
      </c>
      <c r="D19" s="13">
        <f t="shared" si="0"/>
        <v>85</v>
      </c>
      <c r="E19" s="11">
        <v>165</v>
      </c>
      <c r="F19" s="13">
        <f t="shared" si="1"/>
        <v>169</v>
      </c>
      <c r="G19" s="11">
        <v>249</v>
      </c>
      <c r="H19" s="2"/>
      <c r="I19" s="9" t="s">
        <v>46</v>
      </c>
      <c r="J19" s="14">
        <v>219</v>
      </c>
      <c r="K19" s="12">
        <v>100</v>
      </c>
      <c r="L19" s="13">
        <f t="shared" si="2"/>
        <v>135</v>
      </c>
      <c r="M19" s="11">
        <v>235</v>
      </c>
      <c r="N19" s="13">
        <f t="shared" si="3"/>
        <v>160</v>
      </c>
      <c r="O19" s="11">
        <v>260</v>
      </c>
      <c r="P19" s="2"/>
      <c r="Q19" s="2"/>
      <c r="Y19" s="2"/>
      <c r="Z19" s="2"/>
      <c r="AA19" s="2"/>
      <c r="AB19" s="2"/>
    </row>
    <row r="20" spans="1:28" ht="13.8" x14ac:dyDescent="0.25">
      <c r="A20" s="9" t="s">
        <v>28</v>
      </c>
      <c r="B20" s="14">
        <v>245</v>
      </c>
      <c r="C20" s="12">
        <v>100</v>
      </c>
      <c r="D20" s="13">
        <f t="shared" si="0"/>
        <v>130</v>
      </c>
      <c r="E20" s="11">
        <v>230</v>
      </c>
      <c r="F20" s="13">
        <f t="shared" si="1"/>
        <v>204</v>
      </c>
      <c r="G20" s="11">
        <v>304</v>
      </c>
      <c r="H20" s="2"/>
      <c r="P20" s="2"/>
      <c r="Q20" s="2"/>
      <c r="Y20" s="2"/>
      <c r="Z20" s="2"/>
      <c r="AA20" s="2"/>
      <c r="AB20" s="2"/>
    </row>
    <row r="21" spans="1:28" ht="13.8" x14ac:dyDescent="0.25">
      <c r="A21" s="9" t="s">
        <v>31</v>
      </c>
      <c r="B21" s="14">
        <v>499</v>
      </c>
      <c r="C21" s="12">
        <v>400</v>
      </c>
      <c r="D21" s="13">
        <f t="shared" si="0"/>
        <v>410</v>
      </c>
      <c r="E21" s="11">
        <v>810</v>
      </c>
      <c r="F21" s="13">
        <f t="shared" si="1"/>
        <v>600</v>
      </c>
      <c r="G21" s="11">
        <v>1000</v>
      </c>
      <c r="H21" s="2"/>
      <c r="P21" s="2"/>
      <c r="Q21" s="2"/>
      <c r="Y21" s="2"/>
      <c r="Z21" s="2"/>
      <c r="AA21" s="2"/>
      <c r="AB21" s="2"/>
    </row>
    <row r="22" spans="1:28" ht="13.8" x14ac:dyDescent="0.25">
      <c r="A22" s="9" t="s">
        <v>34</v>
      </c>
      <c r="B22" s="14">
        <v>399</v>
      </c>
      <c r="C22" s="12">
        <v>100</v>
      </c>
      <c r="D22" s="13">
        <f t="shared" si="0"/>
        <v>169</v>
      </c>
      <c r="E22" s="11">
        <v>269</v>
      </c>
      <c r="F22" s="13">
        <f t="shared" si="1"/>
        <v>299</v>
      </c>
      <c r="G22" s="11">
        <v>399</v>
      </c>
      <c r="H22" s="2"/>
      <c r="P22" s="2"/>
      <c r="Q22" s="2"/>
      <c r="Y22" s="2"/>
      <c r="Z22" s="2"/>
      <c r="AA22" s="2"/>
      <c r="AB22" s="2"/>
    </row>
    <row r="23" spans="1:28" ht="13.8" x14ac:dyDescent="0.25">
      <c r="A23" s="8" t="s">
        <v>37</v>
      </c>
      <c r="B23" s="14">
        <v>1099</v>
      </c>
      <c r="C23" s="12">
        <v>500</v>
      </c>
      <c r="D23" s="13">
        <f t="shared" si="0"/>
        <v>500</v>
      </c>
      <c r="E23" s="11">
        <v>1000</v>
      </c>
      <c r="F23" s="13">
        <f t="shared" si="1"/>
        <v>799</v>
      </c>
      <c r="G23" s="11">
        <v>1299</v>
      </c>
      <c r="H23" s="2"/>
      <c r="P23" s="2"/>
      <c r="Q23" s="2"/>
      <c r="Y23" s="2"/>
      <c r="Z23" s="2"/>
      <c r="AA23" s="2"/>
      <c r="AB23" s="2"/>
    </row>
    <row r="24" spans="1:28" ht="13.8" x14ac:dyDescent="0.25">
      <c r="A24" s="8" t="s">
        <v>38</v>
      </c>
      <c r="B24" s="14">
        <v>999</v>
      </c>
      <c r="C24" s="12">
        <v>350</v>
      </c>
      <c r="D24" s="13">
        <f t="shared" si="0"/>
        <v>549</v>
      </c>
      <c r="E24" s="11">
        <v>899</v>
      </c>
      <c r="F24" s="13">
        <f t="shared" si="1"/>
        <v>649</v>
      </c>
      <c r="G24" s="11">
        <v>999</v>
      </c>
      <c r="H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  <c r="AB24" s="2"/>
    </row>
    <row r="25" spans="1:28" x14ac:dyDescent="0.25">
      <c r="A25" s="2"/>
      <c r="B25" s="2"/>
      <c r="C25" s="2"/>
      <c r="D25" s="2"/>
      <c r="E25" s="2"/>
      <c r="F25" s="2"/>
      <c r="G25" s="2"/>
      <c r="H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  <c r="AB25" s="2"/>
    </row>
    <row r="26" spans="1:28" x14ac:dyDescent="0.25">
      <c r="A26" s="2"/>
      <c r="B26" s="2"/>
      <c r="C26" s="2"/>
      <c r="D26" s="2"/>
      <c r="E26" s="2"/>
      <c r="F26" s="2"/>
      <c r="G26" s="2"/>
      <c r="H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  <c r="AB26" s="2"/>
    </row>
    <row r="27" spans="1:28" x14ac:dyDescent="0.25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  <c r="AB27" s="2"/>
    </row>
    <row r="28" spans="1:28" x14ac:dyDescent="0.25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  <c r="AB28" s="2"/>
    </row>
    <row r="29" spans="1:28" x14ac:dyDescent="0.25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  <c r="AB29" s="2"/>
    </row>
    <row r="30" spans="1:28" x14ac:dyDescent="0.25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  <c r="AB30" s="2"/>
    </row>
    <row r="31" spans="1:28" ht="13.2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  <c r="AB31" s="2"/>
    </row>
    <row r="32" spans="1:28" ht="24.6" customHeight="1" x14ac:dyDescent="0.25">
      <c r="A32" s="106" t="s">
        <v>39</v>
      </c>
      <c r="B32" s="107"/>
      <c r="C32" s="107"/>
      <c r="D32" s="107"/>
      <c r="E32" s="2"/>
      <c r="F32" s="2"/>
      <c r="G32" s="2"/>
      <c r="H32" s="2"/>
      <c r="I32" s="106" t="s">
        <v>39</v>
      </c>
      <c r="J32" s="107"/>
      <c r="K32" s="107"/>
      <c r="L32" s="107"/>
      <c r="M32" s="2"/>
      <c r="N32" s="2"/>
      <c r="O32" s="2"/>
      <c r="P32" s="2"/>
      <c r="Q32" s="106" t="s">
        <v>39</v>
      </c>
      <c r="R32" s="107"/>
      <c r="S32" s="107"/>
      <c r="T32" s="107"/>
      <c r="U32" s="2"/>
      <c r="V32" s="2"/>
      <c r="W32" s="2"/>
      <c r="X32" s="2"/>
      <c r="Y32" s="2"/>
      <c r="Z32" s="2"/>
      <c r="AA32" s="2"/>
      <c r="AB32" s="2"/>
    </row>
    <row r="33" spans="1:28" ht="13.2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  <c r="AB33" s="2"/>
    </row>
    <row r="34" spans="1:28" ht="16.8" x14ac:dyDescent="0.25">
      <c r="A34" s="108" t="s">
        <v>1</v>
      </c>
      <c r="B34" s="111"/>
      <c r="C34" s="111"/>
      <c r="D34" s="111"/>
      <c r="E34" s="111"/>
      <c r="F34" s="111"/>
      <c r="G34" s="113"/>
      <c r="H34" s="2"/>
      <c r="I34" s="108" t="s">
        <v>2</v>
      </c>
      <c r="J34" s="111"/>
      <c r="K34" s="111"/>
      <c r="L34" s="111"/>
      <c r="M34" s="111"/>
      <c r="N34" s="111"/>
      <c r="O34" s="112"/>
      <c r="P34" s="2"/>
      <c r="Q34" s="108" t="s">
        <v>23</v>
      </c>
      <c r="R34" s="111"/>
      <c r="S34" s="111"/>
      <c r="T34" s="111"/>
      <c r="U34" s="111"/>
      <c r="V34" s="111"/>
      <c r="W34" s="112"/>
      <c r="X34" s="2"/>
      <c r="Y34" s="2"/>
      <c r="Z34" s="2"/>
      <c r="AA34" s="2"/>
      <c r="AB34" s="2"/>
    </row>
    <row r="35" spans="1:28" ht="15.6" x14ac:dyDescent="0.25">
      <c r="A35" s="6" t="s">
        <v>3</v>
      </c>
      <c r="B35" s="15" t="s">
        <v>4</v>
      </c>
      <c r="C35" s="16" t="s">
        <v>5</v>
      </c>
      <c r="D35" s="17" t="s">
        <v>43</v>
      </c>
      <c r="E35" s="6" t="s">
        <v>7</v>
      </c>
      <c r="F35" s="99" t="s">
        <v>44</v>
      </c>
      <c r="G35" s="90" t="s">
        <v>8</v>
      </c>
      <c r="H35" s="2"/>
      <c r="I35" s="6" t="s">
        <v>3</v>
      </c>
      <c r="J35" s="6" t="s">
        <v>4</v>
      </c>
      <c r="K35" s="6" t="s">
        <v>5</v>
      </c>
      <c r="L35" s="17" t="s">
        <v>43</v>
      </c>
      <c r="M35" s="6" t="s">
        <v>7</v>
      </c>
      <c r="N35" s="17" t="s">
        <v>44</v>
      </c>
      <c r="O35" s="6" t="s">
        <v>8</v>
      </c>
      <c r="P35" s="2"/>
      <c r="Q35" s="6" t="s">
        <v>3</v>
      </c>
      <c r="R35" s="6" t="s">
        <v>4</v>
      </c>
      <c r="S35" s="6" t="s">
        <v>5</v>
      </c>
      <c r="T35" s="6" t="s">
        <v>43</v>
      </c>
      <c r="U35" s="6" t="s">
        <v>7</v>
      </c>
      <c r="V35" s="6" t="s">
        <v>44</v>
      </c>
      <c r="W35" s="6" t="s">
        <v>8</v>
      </c>
      <c r="X35" s="2"/>
      <c r="Y35" s="2"/>
      <c r="Z35" s="2"/>
      <c r="AA35" s="2"/>
      <c r="AB35" s="2"/>
    </row>
    <row r="36" spans="1:28" ht="27.6" x14ac:dyDescent="0.25">
      <c r="A36" s="7" t="s">
        <v>9</v>
      </c>
      <c r="B36" s="96">
        <v>136</v>
      </c>
      <c r="C36" s="12">
        <v>75</v>
      </c>
      <c r="D36" s="98">
        <f xml:space="preserve"> E36 - C36</f>
        <v>80</v>
      </c>
      <c r="E36" s="102">
        <f>ROUND(E8*(1-8%),0)</f>
        <v>155</v>
      </c>
      <c r="F36" s="100">
        <f>G36 - C36</f>
        <v>154.08000000000001</v>
      </c>
      <c r="G36" s="93">
        <f>G8 * (1-8%)</f>
        <v>229.08</v>
      </c>
      <c r="H36" s="2"/>
      <c r="I36" s="9" t="s">
        <v>10</v>
      </c>
      <c r="J36" s="14">
        <v>233</v>
      </c>
      <c r="K36" s="12">
        <v>120</v>
      </c>
      <c r="L36" s="104">
        <f>M36 - K36</f>
        <v>110</v>
      </c>
      <c r="M36" s="84">
        <f>ROUND(M8*(1-8%),0)</f>
        <v>230</v>
      </c>
      <c r="N36" s="104">
        <f xml:space="preserve"> O36 - K36</f>
        <v>147</v>
      </c>
      <c r="O36" s="84">
        <v>267</v>
      </c>
      <c r="P36" s="2"/>
      <c r="Q36" s="10" t="s">
        <v>26</v>
      </c>
      <c r="R36" s="14" t="s">
        <v>27</v>
      </c>
      <c r="S36" s="12">
        <v>120</v>
      </c>
      <c r="T36" s="103">
        <f xml:space="preserve"> U36-S36</f>
        <v>183</v>
      </c>
      <c r="U36" s="8">
        <f>ROUND(U8 *(1 - 8%),0)</f>
        <v>303</v>
      </c>
      <c r="V36" s="103">
        <f>W36 - S36</f>
        <v>339</v>
      </c>
      <c r="W36" s="8">
        <f>ROUND(W8 * (1 - 8%),0)</f>
        <v>459</v>
      </c>
      <c r="X36" s="2"/>
      <c r="Y36" s="2"/>
      <c r="Z36" s="2"/>
      <c r="AA36" s="2"/>
      <c r="AB36" s="2"/>
    </row>
    <row r="37" spans="1:28" ht="41.4" x14ac:dyDescent="0.25">
      <c r="A37" s="7" t="s">
        <v>11</v>
      </c>
      <c r="B37" s="96">
        <v>258</v>
      </c>
      <c r="C37" s="12">
        <v>90</v>
      </c>
      <c r="D37" s="98">
        <f t="shared" ref="D37:D52" si="6" xml:space="preserve"> E37 - C37</f>
        <v>111</v>
      </c>
      <c r="E37" s="102">
        <f t="shared" ref="E37:E52" si="7">ROUND(E9*(1-8%),0)</f>
        <v>201</v>
      </c>
      <c r="F37" s="100">
        <f t="shared" ref="F37:F52" si="8">G37 - C37</f>
        <v>221.88</v>
      </c>
      <c r="G37" s="93">
        <f t="shared" ref="G37:G52" si="9">G9 * (1-8%)</f>
        <v>311.88</v>
      </c>
      <c r="H37" s="2"/>
      <c r="I37" s="9" t="s">
        <v>12</v>
      </c>
      <c r="J37" s="14">
        <v>199</v>
      </c>
      <c r="K37" s="12">
        <v>70</v>
      </c>
      <c r="L37" s="104">
        <f t="shared" ref="L37:L47" si="10">M37 - K37</f>
        <v>96</v>
      </c>
      <c r="M37" s="84">
        <f>ROUND(M9 * (1 - 8% ),0)</f>
        <v>166</v>
      </c>
      <c r="N37" s="104">
        <f t="shared" ref="N37:N47" si="11" xml:space="preserve"> O37 - K37</f>
        <v>86</v>
      </c>
      <c r="O37" s="84">
        <v>156</v>
      </c>
      <c r="P37" s="2"/>
      <c r="Q37" s="10" t="s">
        <v>29</v>
      </c>
      <c r="R37" s="14" t="s">
        <v>30</v>
      </c>
      <c r="S37" s="12">
        <v>110</v>
      </c>
      <c r="T37" s="103">
        <f t="shared" ref="T37:T39" si="12" xml:space="preserve"> U37-S37</f>
        <v>165</v>
      </c>
      <c r="U37" s="8">
        <f t="shared" ref="U37:U39" si="13">ROUND(U9 *(1 - 8%),0)</f>
        <v>275</v>
      </c>
      <c r="V37" s="103">
        <f t="shared" ref="V37:V39" si="14">W37 - S37</f>
        <v>303</v>
      </c>
      <c r="W37" s="8">
        <f t="shared" ref="W37:W39" si="15">ROUND(W9 * (1 - 8%),0)</f>
        <v>413</v>
      </c>
      <c r="X37" s="2"/>
      <c r="Y37" s="2"/>
      <c r="Z37" s="2"/>
      <c r="AA37" s="2"/>
      <c r="AB37" s="2"/>
    </row>
    <row r="38" spans="1:28" ht="13.8" x14ac:dyDescent="0.25">
      <c r="A38" s="7" t="s">
        <v>13</v>
      </c>
      <c r="B38" s="96">
        <v>339</v>
      </c>
      <c r="C38" s="12">
        <v>130</v>
      </c>
      <c r="D38" s="98">
        <f t="shared" si="6"/>
        <v>215</v>
      </c>
      <c r="E38" s="102">
        <f t="shared" si="7"/>
        <v>345</v>
      </c>
      <c r="F38" s="100">
        <f t="shared" si="8"/>
        <v>311.60000000000002</v>
      </c>
      <c r="G38" s="93">
        <f t="shared" si="9"/>
        <v>441.6</v>
      </c>
      <c r="H38" s="2"/>
      <c r="I38" s="9" t="s">
        <v>14</v>
      </c>
      <c r="J38" s="14">
        <v>111</v>
      </c>
      <c r="K38" s="12">
        <v>50</v>
      </c>
      <c r="L38" s="104">
        <f t="shared" si="10"/>
        <v>42</v>
      </c>
      <c r="M38" s="84">
        <f t="shared" ref="M38:M47" si="16">ROUND(M10 * (1 - 8% ),0)</f>
        <v>92</v>
      </c>
      <c r="N38" s="104">
        <f t="shared" si="11"/>
        <v>61</v>
      </c>
      <c r="O38" s="84">
        <v>111</v>
      </c>
      <c r="P38" s="2"/>
      <c r="Q38" s="9" t="s">
        <v>32</v>
      </c>
      <c r="R38" s="14" t="s">
        <v>33</v>
      </c>
      <c r="S38" s="12">
        <v>200</v>
      </c>
      <c r="T38" s="103">
        <f t="shared" si="12"/>
        <v>213</v>
      </c>
      <c r="U38" s="8">
        <f t="shared" si="13"/>
        <v>413</v>
      </c>
      <c r="V38" s="103">
        <f t="shared" si="14"/>
        <v>425</v>
      </c>
      <c r="W38" s="8">
        <f t="shared" si="15"/>
        <v>625</v>
      </c>
      <c r="X38" s="2"/>
      <c r="Y38" s="2"/>
      <c r="Z38" s="2"/>
      <c r="AA38" s="2"/>
      <c r="AB38" s="2"/>
    </row>
    <row r="39" spans="1:28" ht="27.6" x14ac:dyDescent="0.25">
      <c r="A39" s="7" t="s">
        <v>15</v>
      </c>
      <c r="B39" s="96">
        <v>373</v>
      </c>
      <c r="C39" s="12">
        <v>180</v>
      </c>
      <c r="D39" s="98">
        <f t="shared" si="6"/>
        <v>343</v>
      </c>
      <c r="E39" s="102">
        <f t="shared" si="7"/>
        <v>523</v>
      </c>
      <c r="F39" s="100">
        <f t="shared" si="8"/>
        <v>390.4</v>
      </c>
      <c r="G39" s="93">
        <f t="shared" si="9"/>
        <v>570.4</v>
      </c>
      <c r="H39" s="2"/>
      <c r="I39" s="9" t="s">
        <v>16</v>
      </c>
      <c r="J39" s="14">
        <v>110</v>
      </c>
      <c r="K39" s="12">
        <v>50</v>
      </c>
      <c r="L39" s="104">
        <f t="shared" si="10"/>
        <v>42</v>
      </c>
      <c r="M39" s="84">
        <f t="shared" si="16"/>
        <v>92</v>
      </c>
      <c r="N39" s="104">
        <f t="shared" si="11"/>
        <v>61</v>
      </c>
      <c r="O39" s="84">
        <v>111</v>
      </c>
      <c r="P39" s="2"/>
      <c r="Q39" s="10" t="s">
        <v>35</v>
      </c>
      <c r="R39" s="14" t="s">
        <v>36</v>
      </c>
      <c r="S39" s="12">
        <v>180</v>
      </c>
      <c r="T39" s="103">
        <f t="shared" si="12"/>
        <v>187</v>
      </c>
      <c r="U39" s="8">
        <f t="shared" si="13"/>
        <v>367</v>
      </c>
      <c r="V39" s="103">
        <f t="shared" si="14"/>
        <v>371</v>
      </c>
      <c r="W39" s="8">
        <f t="shared" si="15"/>
        <v>551</v>
      </c>
      <c r="X39" s="2"/>
      <c r="Y39" s="2"/>
      <c r="Z39" s="2"/>
      <c r="AA39" s="2"/>
      <c r="AB39" s="2"/>
    </row>
    <row r="40" spans="1:28" ht="13.8" x14ac:dyDescent="0.25">
      <c r="A40" s="7" t="s">
        <v>17</v>
      </c>
      <c r="B40" s="96">
        <v>317</v>
      </c>
      <c r="C40" s="12">
        <v>160</v>
      </c>
      <c r="D40" s="98">
        <f t="shared" si="6"/>
        <v>198</v>
      </c>
      <c r="E40" s="102">
        <f t="shared" si="7"/>
        <v>358</v>
      </c>
      <c r="F40" s="100">
        <f t="shared" si="8"/>
        <v>284.36</v>
      </c>
      <c r="G40" s="93">
        <f t="shared" si="9"/>
        <v>444.36</v>
      </c>
      <c r="H40" s="2"/>
      <c r="I40" s="9" t="s">
        <v>49</v>
      </c>
      <c r="J40" s="14">
        <v>300</v>
      </c>
      <c r="K40" s="12">
        <v>120</v>
      </c>
      <c r="L40" s="104">
        <f t="shared" si="10"/>
        <v>137</v>
      </c>
      <c r="M40" s="84">
        <f t="shared" si="16"/>
        <v>257</v>
      </c>
      <c r="N40" s="104">
        <f t="shared" si="11"/>
        <v>147</v>
      </c>
      <c r="O40" s="84">
        <v>267</v>
      </c>
      <c r="P40" s="2"/>
      <c r="Q40" s="2"/>
      <c r="R40" s="2"/>
      <c r="S40" s="2"/>
      <c r="T40" s="2"/>
      <c r="U40" s="2"/>
      <c r="V40" s="2"/>
      <c r="W40" s="8"/>
      <c r="X40" s="2"/>
      <c r="Y40" s="2"/>
      <c r="Z40" s="2"/>
      <c r="AA40" s="2"/>
      <c r="AB40" s="2"/>
    </row>
    <row r="41" spans="1:28" ht="13.8" x14ac:dyDescent="0.25">
      <c r="A41" s="9" t="s">
        <v>18</v>
      </c>
      <c r="B41" s="97">
        <v>120</v>
      </c>
      <c r="C41" s="12">
        <v>45</v>
      </c>
      <c r="D41" s="98">
        <f t="shared" si="6"/>
        <v>74</v>
      </c>
      <c r="E41" s="102">
        <f t="shared" si="7"/>
        <v>119</v>
      </c>
      <c r="F41" s="100">
        <f t="shared" si="8"/>
        <v>136.24</v>
      </c>
      <c r="G41" s="93">
        <f t="shared" si="9"/>
        <v>181.24</v>
      </c>
      <c r="H41" s="2"/>
      <c r="I41" s="9" t="s">
        <v>52</v>
      </c>
      <c r="J41" s="14">
        <v>350</v>
      </c>
      <c r="K41" s="12">
        <v>140</v>
      </c>
      <c r="L41" s="104">
        <f t="shared" si="10"/>
        <v>282</v>
      </c>
      <c r="M41" s="84">
        <f t="shared" si="16"/>
        <v>422</v>
      </c>
      <c r="N41" s="104">
        <f t="shared" si="11"/>
        <v>171</v>
      </c>
      <c r="O41" s="84">
        <v>311</v>
      </c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  <c r="AB41" s="2"/>
    </row>
    <row r="42" spans="1:28" ht="13.8" x14ac:dyDescent="0.25">
      <c r="A42" s="9" t="s">
        <v>19</v>
      </c>
      <c r="B42" s="97">
        <v>139</v>
      </c>
      <c r="C42" s="12">
        <v>70</v>
      </c>
      <c r="D42" s="98">
        <f t="shared" si="6"/>
        <v>104</v>
      </c>
      <c r="E42" s="102">
        <f t="shared" si="7"/>
        <v>174</v>
      </c>
      <c r="F42" s="100">
        <f t="shared" si="8"/>
        <v>205.07999999999998</v>
      </c>
      <c r="G42" s="93">
        <f t="shared" si="9"/>
        <v>275.08</v>
      </c>
      <c r="H42" s="2"/>
      <c r="I42" s="9" t="s">
        <v>48</v>
      </c>
      <c r="J42" s="14">
        <v>480</v>
      </c>
      <c r="K42" s="12">
        <v>600</v>
      </c>
      <c r="L42" s="104">
        <f t="shared" si="10"/>
        <v>871</v>
      </c>
      <c r="M42" s="84">
        <f t="shared" si="16"/>
        <v>1471</v>
      </c>
      <c r="N42" s="104">
        <f t="shared" si="11"/>
        <v>733</v>
      </c>
      <c r="O42" s="84">
        <v>1333</v>
      </c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  <c r="AB42" s="2"/>
    </row>
    <row r="43" spans="1:28" ht="13.8" x14ac:dyDescent="0.25">
      <c r="A43" s="9" t="s">
        <v>20</v>
      </c>
      <c r="B43" s="97">
        <v>179</v>
      </c>
      <c r="C43" s="12">
        <v>100</v>
      </c>
      <c r="D43" s="98">
        <f t="shared" si="6"/>
        <v>130</v>
      </c>
      <c r="E43" s="102">
        <f t="shared" si="7"/>
        <v>230</v>
      </c>
      <c r="F43" s="100">
        <f t="shared" si="8"/>
        <v>185.2</v>
      </c>
      <c r="G43" s="93">
        <f t="shared" si="9"/>
        <v>285.2</v>
      </c>
      <c r="H43" s="2"/>
      <c r="I43" s="9" t="s">
        <v>51</v>
      </c>
      <c r="J43" s="14">
        <v>600</v>
      </c>
      <c r="K43" s="12">
        <v>650</v>
      </c>
      <c r="L43" s="104">
        <f t="shared" si="10"/>
        <v>1282</v>
      </c>
      <c r="M43" s="84">
        <f t="shared" si="16"/>
        <v>1932</v>
      </c>
      <c r="N43" s="104">
        <f t="shared" si="11"/>
        <v>794</v>
      </c>
      <c r="O43" s="85">
        <v>1444</v>
      </c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  <c r="AB43" s="2"/>
    </row>
    <row r="44" spans="1:28" ht="13.8" x14ac:dyDescent="0.25">
      <c r="A44" s="9" t="s">
        <v>21</v>
      </c>
      <c r="B44" s="97" t="s">
        <v>40</v>
      </c>
      <c r="C44" s="12">
        <v>200</v>
      </c>
      <c r="D44" s="98">
        <f t="shared" si="6"/>
        <v>214</v>
      </c>
      <c r="E44" s="102">
        <f t="shared" si="7"/>
        <v>414</v>
      </c>
      <c r="F44" s="100">
        <f t="shared" si="8"/>
        <v>323.48</v>
      </c>
      <c r="G44" s="93">
        <f t="shared" si="9"/>
        <v>523.48</v>
      </c>
      <c r="H44" s="2"/>
      <c r="I44" s="9" t="s">
        <v>47</v>
      </c>
      <c r="J44" s="14">
        <v>299</v>
      </c>
      <c r="K44" s="81">
        <v>130</v>
      </c>
      <c r="L44" s="104">
        <f t="shared" si="10"/>
        <v>220</v>
      </c>
      <c r="M44" s="84">
        <f t="shared" si="16"/>
        <v>350</v>
      </c>
      <c r="N44" s="104">
        <f t="shared" si="11"/>
        <v>159</v>
      </c>
      <c r="O44" s="86">
        <v>289</v>
      </c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  <c r="AB44" s="2"/>
    </row>
    <row r="45" spans="1:28" ht="13.8" x14ac:dyDescent="0.25">
      <c r="A45" s="9" t="s">
        <v>22</v>
      </c>
      <c r="B45" s="97">
        <v>217</v>
      </c>
      <c r="C45" s="12">
        <v>80</v>
      </c>
      <c r="D45" s="98">
        <f t="shared" si="6"/>
        <v>113</v>
      </c>
      <c r="E45" s="102">
        <f t="shared" si="7"/>
        <v>193</v>
      </c>
      <c r="F45" s="100">
        <f t="shared" si="8"/>
        <v>170.24</v>
      </c>
      <c r="G45" s="93">
        <f t="shared" si="9"/>
        <v>250.24</v>
      </c>
      <c r="H45" s="2"/>
      <c r="I45" s="9" t="s">
        <v>50</v>
      </c>
      <c r="J45" s="14">
        <v>310</v>
      </c>
      <c r="K45" s="81">
        <v>130</v>
      </c>
      <c r="L45" s="104">
        <f t="shared" si="10"/>
        <v>284</v>
      </c>
      <c r="M45" s="84">
        <f t="shared" si="16"/>
        <v>414</v>
      </c>
      <c r="N45" s="104">
        <f t="shared" si="11"/>
        <v>159</v>
      </c>
      <c r="O45" s="87">
        <v>289</v>
      </c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  <c r="AB45" s="2"/>
    </row>
    <row r="46" spans="1:28" ht="13.8" x14ac:dyDescent="0.25">
      <c r="A46" s="9" t="s">
        <v>24</v>
      </c>
      <c r="B46" s="97">
        <v>189</v>
      </c>
      <c r="C46" s="12">
        <v>70</v>
      </c>
      <c r="D46" s="98">
        <f t="shared" si="6"/>
        <v>85</v>
      </c>
      <c r="E46" s="102">
        <f t="shared" si="7"/>
        <v>155</v>
      </c>
      <c r="F46" s="100">
        <f t="shared" si="8"/>
        <v>131.48000000000002</v>
      </c>
      <c r="G46" s="93">
        <f t="shared" si="9"/>
        <v>201.48000000000002</v>
      </c>
      <c r="H46" s="2"/>
      <c r="I46" s="9" t="s">
        <v>45</v>
      </c>
      <c r="J46" s="14">
        <v>199</v>
      </c>
      <c r="K46" s="81">
        <v>90</v>
      </c>
      <c r="L46" s="104">
        <f t="shared" si="10"/>
        <v>93</v>
      </c>
      <c r="M46" s="84">
        <f t="shared" si="16"/>
        <v>183</v>
      </c>
      <c r="N46" s="104">
        <f t="shared" si="11"/>
        <v>110</v>
      </c>
      <c r="O46" s="87">
        <v>200</v>
      </c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  <c r="AB46" s="2"/>
    </row>
    <row r="47" spans="1:28" ht="13.8" x14ac:dyDescent="0.25">
      <c r="A47" s="9" t="s">
        <v>25</v>
      </c>
      <c r="B47" s="97">
        <v>189</v>
      </c>
      <c r="C47" s="12">
        <v>80</v>
      </c>
      <c r="D47" s="98">
        <f t="shared" si="6"/>
        <v>72</v>
      </c>
      <c r="E47" s="102">
        <f t="shared" si="7"/>
        <v>152</v>
      </c>
      <c r="F47" s="100">
        <f t="shared" si="8"/>
        <v>149.08000000000001</v>
      </c>
      <c r="G47" s="93">
        <f t="shared" si="9"/>
        <v>229.08</v>
      </c>
      <c r="H47" s="2"/>
      <c r="I47" s="9" t="s">
        <v>46</v>
      </c>
      <c r="J47" s="14">
        <v>219</v>
      </c>
      <c r="K47" s="81">
        <v>100</v>
      </c>
      <c r="L47" s="104">
        <f t="shared" si="10"/>
        <v>116</v>
      </c>
      <c r="M47" s="84">
        <f t="shared" si="16"/>
        <v>216</v>
      </c>
      <c r="N47" s="104">
        <f t="shared" si="11"/>
        <v>122</v>
      </c>
      <c r="O47" s="87">
        <v>222</v>
      </c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  <c r="AB47" s="2"/>
    </row>
    <row r="48" spans="1:28" ht="13.8" x14ac:dyDescent="0.25">
      <c r="A48" s="9" t="s">
        <v>28</v>
      </c>
      <c r="B48" s="97">
        <v>235</v>
      </c>
      <c r="C48" s="12">
        <v>100</v>
      </c>
      <c r="D48" s="98">
        <f t="shared" si="6"/>
        <v>112</v>
      </c>
      <c r="E48" s="102">
        <f t="shared" si="7"/>
        <v>212</v>
      </c>
      <c r="F48" s="100">
        <f t="shared" si="8"/>
        <v>179.68</v>
      </c>
      <c r="G48" s="93">
        <f t="shared" si="9"/>
        <v>279.68</v>
      </c>
      <c r="H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  <c r="AB48" s="2"/>
    </row>
    <row r="49" spans="1:28" ht="13.8" x14ac:dyDescent="0.25">
      <c r="A49" s="9" t="s">
        <v>62</v>
      </c>
      <c r="B49" s="97">
        <v>489</v>
      </c>
      <c r="C49" s="12">
        <v>400</v>
      </c>
      <c r="D49" s="98">
        <f t="shared" si="6"/>
        <v>345</v>
      </c>
      <c r="E49" s="102">
        <f t="shared" si="7"/>
        <v>745</v>
      </c>
      <c r="F49" s="100">
        <f t="shared" si="8"/>
        <v>520</v>
      </c>
      <c r="G49" s="93">
        <f t="shared" si="9"/>
        <v>920</v>
      </c>
      <c r="H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  <c r="AB49" s="2"/>
    </row>
    <row r="50" spans="1:28" ht="13.8" x14ac:dyDescent="0.25">
      <c r="A50" s="9" t="s">
        <v>34</v>
      </c>
      <c r="B50" s="97">
        <v>383</v>
      </c>
      <c r="C50" s="12">
        <v>100</v>
      </c>
      <c r="D50" s="98">
        <f t="shared" si="6"/>
        <v>147</v>
      </c>
      <c r="E50" s="102">
        <f t="shared" si="7"/>
        <v>247</v>
      </c>
      <c r="F50" s="100">
        <f t="shared" si="8"/>
        <v>267.08000000000004</v>
      </c>
      <c r="G50" s="93">
        <f t="shared" si="9"/>
        <v>367.08000000000004</v>
      </c>
      <c r="H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  <c r="AB50" s="2"/>
    </row>
    <row r="51" spans="1:28" ht="13.8" x14ac:dyDescent="0.25">
      <c r="A51" s="8" t="s">
        <v>37</v>
      </c>
      <c r="B51" s="97">
        <v>1079</v>
      </c>
      <c r="C51" s="12">
        <v>500</v>
      </c>
      <c r="D51" s="98">
        <f t="shared" si="6"/>
        <v>420</v>
      </c>
      <c r="E51" s="102">
        <f t="shared" si="7"/>
        <v>920</v>
      </c>
      <c r="F51" s="100">
        <f t="shared" si="8"/>
        <v>695.08000000000015</v>
      </c>
      <c r="G51" s="93">
        <f t="shared" si="9"/>
        <v>1195.0800000000002</v>
      </c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  <c r="AB51" s="2"/>
    </row>
    <row r="52" spans="1:28" ht="13.8" x14ac:dyDescent="0.25">
      <c r="A52" s="8" t="s">
        <v>38</v>
      </c>
      <c r="B52" s="97">
        <v>993</v>
      </c>
      <c r="C52" s="12">
        <v>350</v>
      </c>
      <c r="D52" s="98">
        <f t="shared" si="6"/>
        <v>477</v>
      </c>
      <c r="E52" s="102">
        <f t="shared" si="7"/>
        <v>827</v>
      </c>
      <c r="F52" s="100">
        <f t="shared" si="8"/>
        <v>569.08000000000004</v>
      </c>
      <c r="G52" s="93">
        <f t="shared" si="9"/>
        <v>919.08</v>
      </c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  <c r="AB52" s="2"/>
    </row>
    <row r="53" spans="1:28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  <c r="AB53" s="2"/>
    </row>
    <row r="54" spans="1:28" ht="13.2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  <c r="AB54" s="2"/>
    </row>
    <row r="55" spans="1:28" ht="13.2" customHeight="1" x14ac:dyDescent="0.25">
      <c r="A55" s="106" t="s">
        <v>41</v>
      </c>
      <c r="B55" s="107"/>
      <c r="C55" s="107"/>
      <c r="D55" s="107"/>
      <c r="E55" s="2"/>
      <c r="F55" s="2"/>
      <c r="G55" s="2"/>
      <c r="H55" s="2"/>
      <c r="I55" s="106" t="s">
        <v>41</v>
      </c>
      <c r="J55" s="107"/>
      <c r="K55" s="107"/>
      <c r="L55" s="107"/>
      <c r="M55" s="2"/>
      <c r="N55" s="2"/>
      <c r="O55" s="2"/>
      <c r="P55" s="2"/>
      <c r="Q55" s="106" t="s">
        <v>41</v>
      </c>
      <c r="R55" s="107"/>
      <c r="S55" s="107"/>
      <c r="T55" s="107"/>
      <c r="U55" s="2"/>
      <c r="V55" s="2"/>
      <c r="W55" s="2"/>
      <c r="X55" s="2"/>
      <c r="Y55" s="2"/>
      <c r="Z55" s="2"/>
      <c r="AA55" s="2"/>
      <c r="AB55" s="2"/>
    </row>
    <row r="56" spans="1:28" ht="13.2" customHeight="1" x14ac:dyDescent="0.25">
      <c r="A56" s="107"/>
      <c r="B56" s="107"/>
      <c r="C56" s="107"/>
      <c r="D56" s="107"/>
      <c r="E56" s="2"/>
      <c r="F56" s="2"/>
      <c r="G56" s="2"/>
      <c r="H56" s="2"/>
      <c r="I56" s="107"/>
      <c r="J56" s="107"/>
      <c r="K56" s="107"/>
      <c r="L56" s="107"/>
      <c r="M56" s="2"/>
      <c r="N56" s="2"/>
      <c r="O56" s="2"/>
      <c r="P56" s="2"/>
      <c r="Q56" s="107"/>
      <c r="R56" s="107"/>
      <c r="S56" s="107"/>
      <c r="T56" s="107"/>
      <c r="U56" s="2"/>
      <c r="V56" s="2"/>
      <c r="W56" s="2"/>
      <c r="X56" s="2"/>
      <c r="Y56" s="2"/>
      <c r="Z56" s="2"/>
      <c r="AA56" s="2"/>
      <c r="AB56" s="2"/>
    </row>
    <row r="57" spans="1:28" ht="16.8" x14ac:dyDescent="0.25">
      <c r="A57" s="108" t="s">
        <v>1</v>
      </c>
      <c r="B57" s="111"/>
      <c r="C57" s="111"/>
      <c r="D57" s="111"/>
      <c r="E57" s="111"/>
      <c r="F57" s="111"/>
      <c r="G57" s="112"/>
      <c r="H57" s="2"/>
      <c r="I57" s="108" t="s">
        <v>2</v>
      </c>
      <c r="J57" s="111"/>
      <c r="K57" s="111"/>
      <c r="L57" s="111"/>
      <c r="M57" s="111"/>
      <c r="N57" s="111"/>
      <c r="O57" s="112"/>
      <c r="P57" s="2"/>
      <c r="Q57" s="108" t="s">
        <v>23</v>
      </c>
      <c r="R57" s="111"/>
      <c r="S57" s="111"/>
      <c r="T57" s="111"/>
      <c r="U57" s="111"/>
      <c r="V57" s="111"/>
      <c r="W57" s="112"/>
      <c r="X57" s="2"/>
      <c r="Y57" s="2"/>
      <c r="Z57" s="2"/>
      <c r="AA57" s="2"/>
      <c r="AB57" s="2"/>
    </row>
    <row r="58" spans="1:28" ht="15.6" x14ac:dyDescent="0.25">
      <c r="A58" s="6" t="s">
        <v>3</v>
      </c>
      <c r="B58" s="15" t="s">
        <v>4</v>
      </c>
      <c r="C58" s="16" t="s">
        <v>5</v>
      </c>
      <c r="D58" s="17" t="s">
        <v>43</v>
      </c>
      <c r="E58" s="89" t="s">
        <v>7</v>
      </c>
      <c r="F58" s="17" t="s">
        <v>44</v>
      </c>
      <c r="G58" s="89" t="s">
        <v>8</v>
      </c>
      <c r="H58" s="2"/>
      <c r="I58" s="6" t="s">
        <v>3</v>
      </c>
      <c r="J58" s="105" t="s">
        <v>63</v>
      </c>
      <c r="K58" s="16" t="s">
        <v>5</v>
      </c>
      <c r="L58" s="17" t="s">
        <v>43</v>
      </c>
      <c r="M58" s="6" t="s">
        <v>7</v>
      </c>
      <c r="N58" s="17" t="s">
        <v>44</v>
      </c>
      <c r="O58" s="6" t="s">
        <v>8</v>
      </c>
      <c r="P58" s="2"/>
      <c r="Q58" s="6" t="s">
        <v>3</v>
      </c>
      <c r="R58" s="6" t="s">
        <v>4</v>
      </c>
      <c r="S58" s="6" t="s">
        <v>5</v>
      </c>
      <c r="T58" s="6" t="s">
        <v>6</v>
      </c>
      <c r="U58" s="6" t="s">
        <v>7</v>
      </c>
      <c r="V58" s="6" t="s">
        <v>6</v>
      </c>
      <c r="W58" s="6" t="s">
        <v>8</v>
      </c>
      <c r="X58" s="2"/>
      <c r="Y58" s="2"/>
      <c r="Z58" s="2"/>
      <c r="AA58" s="2"/>
      <c r="AB58" s="2"/>
    </row>
    <row r="59" spans="1:28" ht="27.6" x14ac:dyDescent="0.25">
      <c r="A59" s="91" t="s">
        <v>9</v>
      </c>
      <c r="B59" s="96">
        <v>157</v>
      </c>
      <c r="C59" s="12">
        <v>75</v>
      </c>
      <c r="D59" s="100">
        <f>E59 - C59</f>
        <v>68</v>
      </c>
      <c r="E59" s="94">
        <f>ROUND(E36 * (1 - 8%), 0)</f>
        <v>143</v>
      </c>
      <c r="F59" s="101">
        <f>G59-C59</f>
        <v>136</v>
      </c>
      <c r="G59" s="94">
        <f xml:space="preserve"> ROUND(G36 * (1 - 8%), 0)</f>
        <v>211</v>
      </c>
      <c r="H59" s="2"/>
      <c r="I59" s="9" t="s">
        <v>10</v>
      </c>
      <c r="J59" s="14">
        <v>233</v>
      </c>
      <c r="K59" s="12">
        <v>120</v>
      </c>
      <c r="L59" s="104">
        <f xml:space="preserve"> M59 - K59</f>
        <v>92</v>
      </c>
      <c r="M59" s="8">
        <f>ROUND(M36*(1 - 8%),0)</f>
        <v>212</v>
      </c>
      <c r="N59" s="104">
        <f xml:space="preserve"> O59 - K59</f>
        <v>126</v>
      </c>
      <c r="O59" s="8">
        <f>ROUND(O36 * (1 - 8%),0)</f>
        <v>246</v>
      </c>
      <c r="P59" s="2"/>
      <c r="Q59" s="10" t="s">
        <v>26</v>
      </c>
      <c r="R59" s="14" t="s">
        <v>27</v>
      </c>
      <c r="S59" s="12">
        <v>120</v>
      </c>
      <c r="T59" s="103">
        <f>U59 - S59</f>
        <v>159</v>
      </c>
      <c r="U59" s="8">
        <f>ROUND(U36 * (1 - 8%),0)</f>
        <v>279</v>
      </c>
      <c r="V59" s="103">
        <f xml:space="preserve"> W59-S59</f>
        <v>302</v>
      </c>
      <c r="W59" s="8">
        <f>ROUND(W36 * (1 - 8%), 0)</f>
        <v>422</v>
      </c>
      <c r="X59" s="2"/>
      <c r="Y59" s="2"/>
      <c r="Z59" s="2"/>
      <c r="AA59" s="2"/>
      <c r="AB59" s="2"/>
    </row>
    <row r="60" spans="1:28" ht="41.4" x14ac:dyDescent="0.25">
      <c r="A60" s="91" t="s">
        <v>11</v>
      </c>
      <c r="B60" s="96">
        <v>247</v>
      </c>
      <c r="C60" s="12">
        <v>90</v>
      </c>
      <c r="D60" s="100">
        <f t="shared" ref="D60:D75" si="17">E60 - C60</f>
        <v>95</v>
      </c>
      <c r="E60" s="94">
        <f t="shared" ref="E60:E75" si="18">ROUND(E37 * (1 - 8%), 0)</f>
        <v>185</v>
      </c>
      <c r="F60" s="101">
        <f t="shared" ref="F60:F75" si="19">G60-C60</f>
        <v>197</v>
      </c>
      <c r="G60" s="94">
        <f t="shared" ref="G60:G75" si="20" xml:space="preserve"> ROUND(G37 * (1 - 8%), 0)</f>
        <v>287</v>
      </c>
      <c r="H60" s="2"/>
      <c r="I60" s="9" t="s">
        <v>12</v>
      </c>
      <c r="J60" s="14">
        <v>199</v>
      </c>
      <c r="K60" s="12">
        <v>70</v>
      </c>
      <c r="L60" s="104">
        <f t="shared" ref="L60:L70" si="21" xml:space="preserve"> M60 - K60</f>
        <v>83</v>
      </c>
      <c r="M60" s="8">
        <f t="shared" ref="M60:M70" si="22">ROUND(M37*(1 - 8%),0)</f>
        <v>153</v>
      </c>
      <c r="N60" s="104">
        <f t="shared" ref="N60:N70" si="23" xml:space="preserve"> O60 - K60</f>
        <v>74</v>
      </c>
      <c r="O60" s="8">
        <f t="shared" ref="O60:O70" si="24">ROUND(O37 * (1 - 8%),0)</f>
        <v>144</v>
      </c>
      <c r="P60" s="2"/>
      <c r="Q60" s="10" t="s">
        <v>29</v>
      </c>
      <c r="R60" s="14" t="s">
        <v>30</v>
      </c>
      <c r="S60" s="12">
        <v>110</v>
      </c>
      <c r="T60" s="103">
        <f t="shared" ref="T60:T62" si="25">U60 - S60</f>
        <v>143</v>
      </c>
      <c r="U60" s="8">
        <f t="shared" ref="U60:U62" si="26">ROUND(U37 * (1 - 8%),0)</f>
        <v>253</v>
      </c>
      <c r="V60" s="103">
        <f t="shared" ref="V60:V62" si="27" xml:space="preserve"> W60-S60</f>
        <v>270</v>
      </c>
      <c r="W60" s="8">
        <f t="shared" ref="W60:W62" si="28">ROUND(W37 * (1 - 8%), 0)</f>
        <v>380</v>
      </c>
      <c r="X60" s="2"/>
      <c r="Y60" s="2"/>
      <c r="Z60" s="2"/>
      <c r="AA60" s="2"/>
      <c r="AB60" s="2"/>
    </row>
    <row r="61" spans="1:28" ht="13.8" x14ac:dyDescent="0.25">
      <c r="A61" s="91" t="s">
        <v>13</v>
      </c>
      <c r="B61" s="96">
        <v>329</v>
      </c>
      <c r="C61" s="12">
        <v>130</v>
      </c>
      <c r="D61" s="100">
        <f t="shared" si="17"/>
        <v>187</v>
      </c>
      <c r="E61" s="94">
        <f t="shared" si="18"/>
        <v>317</v>
      </c>
      <c r="F61" s="101">
        <f t="shared" si="19"/>
        <v>276</v>
      </c>
      <c r="G61" s="94">
        <f t="shared" si="20"/>
        <v>406</v>
      </c>
      <c r="H61" s="2"/>
      <c r="I61" s="9" t="s">
        <v>14</v>
      </c>
      <c r="J61" s="14">
        <v>111</v>
      </c>
      <c r="K61" s="12">
        <v>50</v>
      </c>
      <c r="L61" s="104">
        <f t="shared" si="21"/>
        <v>35</v>
      </c>
      <c r="M61" s="8">
        <f t="shared" si="22"/>
        <v>85</v>
      </c>
      <c r="N61" s="104">
        <f t="shared" si="23"/>
        <v>52</v>
      </c>
      <c r="O61" s="8">
        <f t="shared" si="24"/>
        <v>102</v>
      </c>
      <c r="P61" s="2"/>
      <c r="Q61" s="9" t="s">
        <v>32</v>
      </c>
      <c r="R61" s="14" t="s">
        <v>33</v>
      </c>
      <c r="S61" s="12">
        <v>200</v>
      </c>
      <c r="T61" s="103">
        <f t="shared" si="25"/>
        <v>180</v>
      </c>
      <c r="U61" s="8">
        <f t="shared" si="26"/>
        <v>380</v>
      </c>
      <c r="V61" s="103">
        <f t="shared" si="27"/>
        <v>375</v>
      </c>
      <c r="W61" s="8">
        <f t="shared" si="28"/>
        <v>575</v>
      </c>
      <c r="X61" s="2"/>
      <c r="Y61" s="2"/>
      <c r="Z61" s="2"/>
      <c r="AA61" s="2"/>
      <c r="AB61" s="2"/>
    </row>
    <row r="62" spans="1:28" ht="27.6" x14ac:dyDescent="0.25">
      <c r="A62" s="91" t="s">
        <v>15</v>
      </c>
      <c r="B62" s="96">
        <v>367</v>
      </c>
      <c r="C62" s="12">
        <v>180</v>
      </c>
      <c r="D62" s="100">
        <f t="shared" si="17"/>
        <v>301</v>
      </c>
      <c r="E62" s="94">
        <f t="shared" si="18"/>
        <v>481</v>
      </c>
      <c r="F62" s="101">
        <f t="shared" si="19"/>
        <v>345</v>
      </c>
      <c r="G62" s="94">
        <f t="shared" si="20"/>
        <v>525</v>
      </c>
      <c r="H62" s="2"/>
      <c r="I62" s="9" t="s">
        <v>16</v>
      </c>
      <c r="J62" s="14">
        <v>110</v>
      </c>
      <c r="K62" s="12">
        <v>50</v>
      </c>
      <c r="L62" s="104">
        <f t="shared" si="21"/>
        <v>35</v>
      </c>
      <c r="M62" s="8">
        <f t="shared" si="22"/>
        <v>85</v>
      </c>
      <c r="N62" s="104">
        <f t="shared" si="23"/>
        <v>52</v>
      </c>
      <c r="O62" s="8">
        <f t="shared" si="24"/>
        <v>102</v>
      </c>
      <c r="P62" s="2"/>
      <c r="Q62" s="10" t="s">
        <v>35</v>
      </c>
      <c r="R62" s="14" t="s">
        <v>36</v>
      </c>
      <c r="S62" s="12">
        <v>180</v>
      </c>
      <c r="T62" s="103">
        <f t="shared" si="25"/>
        <v>158</v>
      </c>
      <c r="U62" s="8">
        <f t="shared" si="26"/>
        <v>338</v>
      </c>
      <c r="V62" s="103">
        <f t="shared" si="27"/>
        <v>327</v>
      </c>
      <c r="W62" s="8">
        <f t="shared" si="28"/>
        <v>507</v>
      </c>
      <c r="X62" s="2"/>
      <c r="Y62" s="2"/>
      <c r="Z62" s="2"/>
      <c r="AA62" s="2"/>
      <c r="AB62" s="2"/>
    </row>
    <row r="63" spans="1:28" ht="13.8" x14ac:dyDescent="0.25">
      <c r="A63" s="91" t="s">
        <v>17</v>
      </c>
      <c r="B63" s="96">
        <v>309</v>
      </c>
      <c r="C63" s="12">
        <v>160</v>
      </c>
      <c r="D63" s="100">
        <f t="shared" si="17"/>
        <v>169</v>
      </c>
      <c r="E63" s="94">
        <f t="shared" si="18"/>
        <v>329</v>
      </c>
      <c r="F63" s="101">
        <f t="shared" si="19"/>
        <v>249</v>
      </c>
      <c r="G63" s="94">
        <f t="shared" si="20"/>
        <v>409</v>
      </c>
      <c r="H63" s="2"/>
      <c r="I63" s="9" t="s">
        <v>49</v>
      </c>
      <c r="J63" s="14">
        <v>300</v>
      </c>
      <c r="K63" s="12">
        <v>120</v>
      </c>
      <c r="L63" s="104">
        <f t="shared" si="21"/>
        <v>116</v>
      </c>
      <c r="M63" s="8">
        <f t="shared" si="22"/>
        <v>236</v>
      </c>
      <c r="N63" s="104">
        <f t="shared" si="23"/>
        <v>126</v>
      </c>
      <c r="O63" s="8">
        <f t="shared" si="24"/>
        <v>246</v>
      </c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  <c r="AB63" s="2"/>
    </row>
    <row r="64" spans="1:28" ht="13.8" x14ac:dyDescent="0.25">
      <c r="A64" s="92" t="s">
        <v>18</v>
      </c>
      <c r="B64" s="97">
        <v>101</v>
      </c>
      <c r="C64" s="12">
        <v>45</v>
      </c>
      <c r="D64" s="100">
        <f t="shared" si="17"/>
        <v>64</v>
      </c>
      <c r="E64" s="94">
        <f t="shared" si="18"/>
        <v>109</v>
      </c>
      <c r="F64" s="101">
        <f t="shared" si="19"/>
        <v>122</v>
      </c>
      <c r="G64" s="94">
        <f t="shared" si="20"/>
        <v>167</v>
      </c>
      <c r="H64" s="2"/>
      <c r="I64" s="9" t="s">
        <v>52</v>
      </c>
      <c r="J64" s="14">
        <v>350</v>
      </c>
      <c r="K64" s="12">
        <v>140</v>
      </c>
      <c r="L64" s="104">
        <f t="shared" si="21"/>
        <v>248</v>
      </c>
      <c r="M64" s="8">
        <f t="shared" si="22"/>
        <v>388</v>
      </c>
      <c r="N64" s="104">
        <f t="shared" si="23"/>
        <v>146</v>
      </c>
      <c r="O64" s="8">
        <f t="shared" si="24"/>
        <v>286</v>
      </c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  <c r="AB64" s="2"/>
    </row>
    <row r="65" spans="1:28" ht="13.8" x14ac:dyDescent="0.25">
      <c r="A65" s="92" t="s">
        <v>19</v>
      </c>
      <c r="B65" s="97">
        <v>132</v>
      </c>
      <c r="C65" s="12">
        <v>70</v>
      </c>
      <c r="D65" s="100">
        <f t="shared" si="17"/>
        <v>90</v>
      </c>
      <c r="E65" s="94">
        <f t="shared" si="18"/>
        <v>160</v>
      </c>
      <c r="F65" s="101">
        <f t="shared" si="19"/>
        <v>183</v>
      </c>
      <c r="G65" s="94">
        <f t="shared" si="20"/>
        <v>253</v>
      </c>
      <c r="H65" s="2"/>
      <c r="I65" s="9" t="s">
        <v>48</v>
      </c>
      <c r="J65" s="14">
        <v>480</v>
      </c>
      <c r="K65" s="12">
        <v>600</v>
      </c>
      <c r="L65" s="104">
        <f t="shared" si="21"/>
        <v>753</v>
      </c>
      <c r="M65" s="8">
        <f t="shared" si="22"/>
        <v>1353</v>
      </c>
      <c r="N65" s="104">
        <f t="shared" si="23"/>
        <v>626</v>
      </c>
      <c r="O65" s="8">
        <f t="shared" si="24"/>
        <v>1226</v>
      </c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  <c r="AB65" s="2"/>
    </row>
    <row r="66" spans="1:28" ht="13.8" x14ac:dyDescent="0.25">
      <c r="A66" s="92" t="s">
        <v>20</v>
      </c>
      <c r="B66" s="97">
        <v>174</v>
      </c>
      <c r="C66" s="12">
        <v>100</v>
      </c>
      <c r="D66" s="100">
        <f t="shared" si="17"/>
        <v>112</v>
      </c>
      <c r="E66" s="94">
        <f t="shared" si="18"/>
        <v>212</v>
      </c>
      <c r="F66" s="101">
        <f t="shared" si="19"/>
        <v>162</v>
      </c>
      <c r="G66" s="94">
        <f t="shared" si="20"/>
        <v>262</v>
      </c>
      <c r="H66" s="2"/>
      <c r="I66" s="9" t="s">
        <v>51</v>
      </c>
      <c r="J66" s="14">
        <v>600</v>
      </c>
      <c r="K66" s="12">
        <v>650</v>
      </c>
      <c r="L66" s="104">
        <f t="shared" si="21"/>
        <v>1127</v>
      </c>
      <c r="M66" s="8">
        <f t="shared" si="22"/>
        <v>1777</v>
      </c>
      <c r="N66" s="104">
        <f t="shared" si="23"/>
        <v>678</v>
      </c>
      <c r="O66" s="8">
        <f t="shared" si="24"/>
        <v>1328</v>
      </c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  <c r="AB66" s="2"/>
    </row>
    <row r="67" spans="1:28" ht="13.8" x14ac:dyDescent="0.25">
      <c r="A67" s="92" t="s">
        <v>21</v>
      </c>
      <c r="B67" s="97" t="s">
        <v>42</v>
      </c>
      <c r="C67" s="12">
        <v>200</v>
      </c>
      <c r="D67" s="100">
        <f t="shared" si="17"/>
        <v>181</v>
      </c>
      <c r="E67" s="94">
        <f t="shared" si="18"/>
        <v>381</v>
      </c>
      <c r="F67" s="101">
        <f t="shared" si="19"/>
        <v>282</v>
      </c>
      <c r="G67" s="94">
        <f t="shared" si="20"/>
        <v>482</v>
      </c>
      <c r="H67" s="2"/>
      <c r="I67" s="9" t="s">
        <v>47</v>
      </c>
      <c r="J67" s="14">
        <v>299</v>
      </c>
      <c r="K67" s="81">
        <v>130</v>
      </c>
      <c r="L67" s="104">
        <f t="shared" si="21"/>
        <v>192</v>
      </c>
      <c r="M67" s="8">
        <f t="shared" si="22"/>
        <v>322</v>
      </c>
      <c r="N67" s="104">
        <f t="shared" si="23"/>
        <v>136</v>
      </c>
      <c r="O67" s="8">
        <f t="shared" si="24"/>
        <v>266</v>
      </c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  <c r="AB67" s="2"/>
    </row>
    <row r="68" spans="1:28" ht="13.8" x14ac:dyDescent="0.25">
      <c r="A68" s="92" t="s">
        <v>22</v>
      </c>
      <c r="B68" s="97">
        <v>211</v>
      </c>
      <c r="C68" s="12">
        <v>80</v>
      </c>
      <c r="D68" s="100">
        <f t="shared" si="17"/>
        <v>98</v>
      </c>
      <c r="E68" s="94">
        <f t="shared" si="18"/>
        <v>178</v>
      </c>
      <c r="F68" s="101">
        <f t="shared" si="19"/>
        <v>150</v>
      </c>
      <c r="G68" s="94">
        <f t="shared" si="20"/>
        <v>230</v>
      </c>
      <c r="H68" s="2"/>
      <c r="I68" s="9" t="s">
        <v>50</v>
      </c>
      <c r="J68" s="14">
        <v>310</v>
      </c>
      <c r="K68" s="81">
        <v>130</v>
      </c>
      <c r="L68" s="104">
        <f t="shared" si="21"/>
        <v>251</v>
      </c>
      <c r="M68" s="8">
        <f t="shared" si="22"/>
        <v>381</v>
      </c>
      <c r="N68" s="104">
        <f t="shared" si="23"/>
        <v>136</v>
      </c>
      <c r="O68" s="8">
        <f t="shared" si="24"/>
        <v>266</v>
      </c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  <c r="AB68" s="2"/>
    </row>
    <row r="69" spans="1:28" ht="13.8" x14ac:dyDescent="0.25">
      <c r="A69" s="92" t="s">
        <v>24</v>
      </c>
      <c r="B69" s="97">
        <v>182</v>
      </c>
      <c r="C69" s="12">
        <v>70</v>
      </c>
      <c r="D69" s="100">
        <f t="shared" si="17"/>
        <v>73</v>
      </c>
      <c r="E69" s="94">
        <f t="shared" si="18"/>
        <v>143</v>
      </c>
      <c r="F69" s="101">
        <f t="shared" si="19"/>
        <v>115</v>
      </c>
      <c r="G69" s="94">
        <f t="shared" si="20"/>
        <v>185</v>
      </c>
      <c r="H69" s="2"/>
      <c r="I69" s="9" t="s">
        <v>45</v>
      </c>
      <c r="J69" s="14">
        <v>199</v>
      </c>
      <c r="K69" s="81">
        <v>90</v>
      </c>
      <c r="L69" s="104">
        <f t="shared" si="21"/>
        <v>78</v>
      </c>
      <c r="M69" s="8">
        <f t="shared" si="22"/>
        <v>168</v>
      </c>
      <c r="N69" s="104">
        <f t="shared" si="23"/>
        <v>94</v>
      </c>
      <c r="O69" s="8">
        <f t="shared" si="24"/>
        <v>184</v>
      </c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  <c r="AB69" s="2"/>
    </row>
    <row r="70" spans="1:28" ht="13.8" x14ac:dyDescent="0.25">
      <c r="A70" s="92" t="s">
        <v>25</v>
      </c>
      <c r="B70" s="97">
        <v>181</v>
      </c>
      <c r="C70" s="12">
        <v>80</v>
      </c>
      <c r="D70" s="100">
        <f t="shared" si="17"/>
        <v>60</v>
      </c>
      <c r="E70" s="94">
        <f t="shared" si="18"/>
        <v>140</v>
      </c>
      <c r="F70" s="101">
        <f t="shared" si="19"/>
        <v>131</v>
      </c>
      <c r="G70" s="94">
        <f t="shared" si="20"/>
        <v>211</v>
      </c>
      <c r="H70" s="2"/>
      <c r="I70" s="9" t="s">
        <v>46</v>
      </c>
      <c r="J70" s="14">
        <v>219</v>
      </c>
      <c r="K70" s="81">
        <v>100</v>
      </c>
      <c r="L70" s="104">
        <f t="shared" si="21"/>
        <v>99</v>
      </c>
      <c r="M70" s="8">
        <f t="shared" si="22"/>
        <v>199</v>
      </c>
      <c r="N70" s="104">
        <f t="shared" si="23"/>
        <v>104</v>
      </c>
      <c r="O70" s="8">
        <f t="shared" si="24"/>
        <v>204</v>
      </c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  <c r="AB70" s="2"/>
    </row>
    <row r="71" spans="1:28" ht="13.8" x14ac:dyDescent="0.25">
      <c r="A71" s="92" t="s">
        <v>28</v>
      </c>
      <c r="B71" s="97">
        <v>229</v>
      </c>
      <c r="C71" s="12">
        <v>100</v>
      </c>
      <c r="D71" s="100">
        <f t="shared" si="17"/>
        <v>95</v>
      </c>
      <c r="E71" s="94">
        <f t="shared" si="18"/>
        <v>195</v>
      </c>
      <c r="F71" s="101">
        <f t="shared" si="19"/>
        <v>157</v>
      </c>
      <c r="G71" s="94">
        <f t="shared" si="20"/>
        <v>257</v>
      </c>
      <c r="H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  <c r="AB71" s="2"/>
    </row>
    <row r="72" spans="1:28" ht="13.8" x14ac:dyDescent="0.25">
      <c r="A72" s="92" t="s">
        <v>31</v>
      </c>
      <c r="B72" s="97">
        <v>480</v>
      </c>
      <c r="C72" s="12">
        <v>200</v>
      </c>
      <c r="D72" s="100">
        <f t="shared" si="17"/>
        <v>485</v>
      </c>
      <c r="E72" s="94">
        <f t="shared" si="18"/>
        <v>685</v>
      </c>
      <c r="F72" s="101">
        <f t="shared" si="19"/>
        <v>646</v>
      </c>
      <c r="G72" s="94">
        <f t="shared" si="20"/>
        <v>846</v>
      </c>
      <c r="H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  <c r="AB72" s="2"/>
    </row>
    <row r="73" spans="1:28" ht="13.8" x14ac:dyDescent="0.25">
      <c r="A73" s="92" t="s">
        <v>34</v>
      </c>
      <c r="B73" s="97">
        <v>380</v>
      </c>
      <c r="C73" s="12">
        <v>100</v>
      </c>
      <c r="D73" s="100">
        <f t="shared" si="17"/>
        <v>127</v>
      </c>
      <c r="E73" s="94">
        <f t="shared" si="18"/>
        <v>227</v>
      </c>
      <c r="F73" s="101">
        <f t="shared" si="19"/>
        <v>238</v>
      </c>
      <c r="G73" s="94">
        <f t="shared" si="20"/>
        <v>338</v>
      </c>
      <c r="H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  <c r="AB73" s="2"/>
    </row>
    <row r="74" spans="1:28" ht="13.8" x14ac:dyDescent="0.25">
      <c r="A74" s="95" t="s">
        <v>37</v>
      </c>
      <c r="B74" s="97">
        <v>1066</v>
      </c>
      <c r="C74" s="12">
        <v>500</v>
      </c>
      <c r="D74" s="100">
        <f t="shared" si="17"/>
        <v>346</v>
      </c>
      <c r="E74" s="94">
        <f t="shared" si="18"/>
        <v>846</v>
      </c>
      <c r="F74" s="101">
        <f t="shared" si="19"/>
        <v>599</v>
      </c>
      <c r="G74" s="94">
        <f t="shared" si="20"/>
        <v>1099</v>
      </c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  <c r="AB74" s="2"/>
    </row>
    <row r="75" spans="1:28" ht="13.8" x14ac:dyDescent="0.25">
      <c r="A75" s="95" t="s">
        <v>38</v>
      </c>
      <c r="B75" s="97">
        <v>989</v>
      </c>
      <c r="C75" s="12">
        <v>350</v>
      </c>
      <c r="D75" s="100">
        <f t="shared" si="17"/>
        <v>411</v>
      </c>
      <c r="E75" s="94">
        <f t="shared" si="18"/>
        <v>761</v>
      </c>
      <c r="F75" s="101">
        <f t="shared" si="19"/>
        <v>496</v>
      </c>
      <c r="G75" s="94">
        <f t="shared" si="20"/>
        <v>846</v>
      </c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  <c r="AB75" s="2"/>
    </row>
    <row r="76" spans="1:28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  <c r="AB76" s="2"/>
    </row>
    <row r="77" spans="1:28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  <c r="AB77" s="2"/>
    </row>
    <row r="78" spans="1:28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  <c r="AB78" s="2"/>
    </row>
    <row r="79" spans="1:28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  <c r="AB79" s="2"/>
    </row>
    <row r="80" spans="1:28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  <c r="AB80" s="2"/>
    </row>
    <row r="81" spans="1:28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  <c r="AB81" s="2"/>
    </row>
    <row r="82" spans="1:28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  <c r="AB82" s="2"/>
    </row>
    <row r="83" spans="1:28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  <c r="AB83" s="2"/>
    </row>
    <row r="84" spans="1:28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  <c r="AB84" s="2"/>
    </row>
    <row r="85" spans="1:28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  <c r="AB85" s="2"/>
    </row>
    <row r="86" spans="1:28" x14ac:dyDescent="0.25">
      <c r="A86" s="2"/>
      <c r="B86" s="88"/>
      <c r="C86" s="83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  <c r="AB86" s="2"/>
    </row>
    <row r="87" spans="1:28" x14ac:dyDescent="0.25">
      <c r="A87" s="2"/>
      <c r="B87" s="88"/>
      <c r="C87" s="88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  <c r="AB87" s="2"/>
    </row>
    <row r="88" spans="1:28" x14ac:dyDescent="0.25">
      <c r="A88" s="2"/>
      <c r="B88" s="88"/>
      <c r="C88" s="88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  <c r="AB88" s="2"/>
    </row>
    <row r="89" spans="1:28" x14ac:dyDescent="0.25">
      <c r="A89" s="2"/>
      <c r="B89" s="88"/>
      <c r="C89" s="88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  <c r="AB89" s="2"/>
    </row>
    <row r="90" spans="1:28" x14ac:dyDescent="0.25">
      <c r="A90" s="2"/>
      <c r="B90" s="88"/>
      <c r="C90" s="88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  <c r="AB90" s="2"/>
    </row>
    <row r="91" spans="1:28" x14ac:dyDescent="0.25">
      <c r="A91" s="2"/>
      <c r="B91" s="88"/>
      <c r="C91" s="88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  <c r="AB91" s="2"/>
    </row>
    <row r="92" spans="1:28" x14ac:dyDescent="0.25">
      <c r="A92" s="2"/>
      <c r="B92" s="88"/>
      <c r="C92" s="88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  <c r="AB92" s="2"/>
    </row>
    <row r="93" spans="1:28" x14ac:dyDescent="0.25">
      <c r="A93" s="2"/>
      <c r="B93" s="88"/>
      <c r="C93" s="88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  <c r="AB93" s="2"/>
    </row>
    <row r="94" spans="1:28" x14ac:dyDescent="0.25">
      <c r="A94" s="2"/>
      <c r="B94" s="88"/>
      <c r="C94" s="88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  <c r="AB94" s="2"/>
    </row>
    <row r="95" spans="1:28" x14ac:dyDescent="0.25">
      <c r="A95" s="2"/>
      <c r="B95" s="88"/>
      <c r="C95" s="88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  <c r="AB95" s="2"/>
    </row>
    <row r="96" spans="1:28" x14ac:dyDescent="0.25">
      <c r="A96" s="2"/>
      <c r="B96" s="88"/>
      <c r="C96" s="88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  <c r="AB96" s="2"/>
    </row>
    <row r="97" spans="1:28" x14ac:dyDescent="0.25">
      <c r="A97" s="2"/>
      <c r="B97" s="88"/>
      <c r="C97" s="88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  <c r="AB97" s="2"/>
    </row>
    <row r="98" spans="1:28" x14ac:dyDescent="0.25">
      <c r="A98" s="2"/>
      <c r="B98" s="88"/>
      <c r="C98" s="88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  <c r="AB98" s="2"/>
    </row>
    <row r="99" spans="1:28" x14ac:dyDescent="0.25">
      <c r="A99" s="2"/>
      <c r="B99" s="88"/>
      <c r="C99" s="88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  <c r="AB99" s="2"/>
    </row>
    <row r="100" spans="1:28" x14ac:dyDescent="0.25">
      <c r="A100" s="2"/>
      <c r="B100" s="88"/>
      <c r="C100" s="88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  <c r="AB100" s="2"/>
    </row>
    <row r="101" spans="1:28" x14ac:dyDescent="0.25">
      <c r="A101" s="2"/>
      <c r="B101" s="88"/>
      <c r="C101" s="88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  <c r="AB101" s="2"/>
    </row>
    <row r="102" spans="1:28" x14ac:dyDescent="0.25">
      <c r="A102" s="2"/>
      <c r="B102" s="88"/>
      <c r="C102" s="88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  <c r="AB102" s="2"/>
    </row>
    <row r="103" spans="1:28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  <c r="AB103" s="2"/>
    </row>
    <row r="104" spans="1:28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  <c r="AB104" s="2"/>
    </row>
    <row r="105" spans="1:28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  <c r="AB105" s="2"/>
    </row>
    <row r="106" spans="1:28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  <c r="AB106" s="2"/>
    </row>
    <row r="107" spans="1:28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  <c r="AB107" s="2"/>
    </row>
    <row r="108" spans="1:28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  <c r="AB108" s="2"/>
    </row>
    <row r="109" spans="1:28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  <c r="AB109" s="2"/>
    </row>
    <row r="110" spans="1:28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  <c r="AB110" s="2"/>
    </row>
    <row r="111" spans="1:28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  <c r="AB111" s="2"/>
    </row>
    <row r="112" spans="1:28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  <c r="AB112" s="2"/>
    </row>
    <row r="113" spans="1:28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  <c r="AB113" s="2"/>
    </row>
    <row r="114" spans="1:28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  <c r="AB114" s="2"/>
    </row>
    <row r="115" spans="1:28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  <c r="AB115" s="2"/>
    </row>
    <row r="116" spans="1:28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  <c r="AB116" s="2"/>
    </row>
    <row r="117" spans="1:28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  <c r="AB117" s="2"/>
    </row>
    <row r="118" spans="1:28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  <c r="AB118" s="2"/>
    </row>
    <row r="119" spans="1:28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  <c r="AB119" s="2"/>
    </row>
    <row r="120" spans="1:28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  <c r="AB120" s="2"/>
    </row>
    <row r="121" spans="1:28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  <c r="AB121" s="2"/>
    </row>
    <row r="122" spans="1:28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  <c r="AB122" s="2"/>
    </row>
    <row r="123" spans="1:28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  <c r="AB123" s="2"/>
    </row>
    <row r="124" spans="1:28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  <c r="AB124" s="2"/>
    </row>
    <row r="125" spans="1:28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  <c r="AB125" s="2"/>
    </row>
    <row r="126" spans="1:28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  <c r="AB126" s="2"/>
    </row>
    <row r="127" spans="1:28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  <c r="AB127" s="2"/>
    </row>
    <row r="128" spans="1:28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  <c r="AB128" s="2"/>
    </row>
    <row r="129" spans="1:28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  <c r="AB129" s="2"/>
    </row>
    <row r="130" spans="1:28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  <c r="AB130" s="2"/>
    </row>
    <row r="131" spans="1:28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  <c r="AB131" s="2"/>
    </row>
    <row r="132" spans="1:28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  <c r="AB132" s="2"/>
    </row>
    <row r="133" spans="1:28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  <c r="AB133" s="2"/>
    </row>
    <row r="134" spans="1:28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  <c r="AB134" s="2"/>
    </row>
    <row r="135" spans="1:28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  <c r="AB135" s="2"/>
    </row>
    <row r="136" spans="1:28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  <c r="AB136" s="2"/>
    </row>
    <row r="137" spans="1:28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  <c r="AB137" s="2"/>
    </row>
    <row r="138" spans="1:28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  <c r="AB138" s="2"/>
    </row>
    <row r="139" spans="1:28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  <c r="AB139" s="2"/>
    </row>
    <row r="140" spans="1:28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  <c r="AB140" s="2"/>
    </row>
    <row r="141" spans="1:28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  <c r="AB141" s="2"/>
    </row>
    <row r="142" spans="1:28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  <c r="AB142" s="2"/>
    </row>
    <row r="143" spans="1:28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  <c r="AB143" s="2"/>
    </row>
    <row r="144" spans="1:28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  <c r="AB144" s="2"/>
    </row>
    <row r="145" spans="1:28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  <c r="AB145" s="2"/>
    </row>
    <row r="146" spans="1:28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  <c r="AB146" s="2"/>
    </row>
    <row r="147" spans="1:28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  <c r="AB147" s="2"/>
    </row>
    <row r="148" spans="1:28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  <c r="AB148" s="2"/>
    </row>
    <row r="149" spans="1:28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  <c r="AB149" s="2"/>
    </row>
    <row r="150" spans="1:28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  <c r="AB150" s="2"/>
    </row>
    <row r="151" spans="1:28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  <c r="AB151" s="2"/>
    </row>
    <row r="152" spans="1:28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  <c r="AB152" s="2"/>
    </row>
    <row r="153" spans="1:28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  <c r="AB153" s="2"/>
    </row>
    <row r="154" spans="1:28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  <c r="AB154" s="2"/>
    </row>
    <row r="155" spans="1:28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  <c r="AB155" s="2"/>
    </row>
    <row r="156" spans="1:28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  <c r="AB156" s="2"/>
    </row>
    <row r="157" spans="1:28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  <c r="AB157" s="2"/>
    </row>
    <row r="158" spans="1:28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  <c r="AB158" s="2"/>
    </row>
    <row r="159" spans="1:28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  <c r="AB159" s="2"/>
    </row>
    <row r="160" spans="1:28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  <c r="AB160" s="2"/>
    </row>
    <row r="161" spans="1:28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  <c r="AB161" s="2"/>
    </row>
    <row r="162" spans="1:28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  <c r="AB162" s="2"/>
    </row>
    <row r="163" spans="1:28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  <c r="AB163" s="2"/>
    </row>
    <row r="164" spans="1:28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  <c r="AB164" s="2"/>
    </row>
    <row r="165" spans="1:28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  <c r="AB165" s="2"/>
    </row>
    <row r="166" spans="1:28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  <c r="AB166" s="2"/>
    </row>
    <row r="167" spans="1:28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  <c r="AB167" s="2"/>
    </row>
    <row r="168" spans="1:28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  <c r="AB168" s="2"/>
    </row>
    <row r="169" spans="1:28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  <c r="AB169" s="2"/>
    </row>
    <row r="170" spans="1:28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  <c r="AB170" s="2"/>
    </row>
    <row r="171" spans="1:28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  <c r="AB171" s="2"/>
    </row>
    <row r="172" spans="1:28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  <c r="AB172" s="2"/>
    </row>
    <row r="173" spans="1:28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  <c r="AB173" s="2"/>
    </row>
    <row r="174" spans="1:28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  <c r="AB174" s="2"/>
    </row>
    <row r="175" spans="1:28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  <c r="AB175" s="2"/>
    </row>
    <row r="176" spans="1:28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  <c r="AB176" s="2"/>
    </row>
    <row r="177" spans="1:28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  <c r="AB177" s="2"/>
    </row>
    <row r="178" spans="1:28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  <c r="AB178" s="2"/>
    </row>
    <row r="179" spans="1:28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  <c r="AB179" s="2"/>
    </row>
    <row r="180" spans="1:28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  <c r="AB180" s="2"/>
    </row>
    <row r="181" spans="1:28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  <c r="AB181" s="2"/>
    </row>
    <row r="182" spans="1:28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  <c r="AB182" s="2"/>
    </row>
    <row r="183" spans="1:28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  <c r="AB183" s="2"/>
    </row>
    <row r="184" spans="1:28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  <c r="AB184" s="2"/>
    </row>
    <row r="185" spans="1:28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  <c r="AB185" s="2"/>
    </row>
    <row r="186" spans="1:28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  <c r="AB186" s="2"/>
    </row>
    <row r="187" spans="1:28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  <c r="AB187" s="2"/>
    </row>
    <row r="188" spans="1:28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  <c r="AB188" s="2"/>
    </row>
    <row r="189" spans="1:28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  <c r="AB189" s="2"/>
    </row>
    <row r="190" spans="1:28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  <c r="AB190" s="2"/>
    </row>
    <row r="191" spans="1:28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  <c r="AB191" s="2"/>
    </row>
    <row r="192" spans="1:28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  <c r="AB192" s="2"/>
    </row>
    <row r="193" spans="1:28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  <c r="AB193" s="2"/>
    </row>
    <row r="194" spans="1:28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  <c r="AB194" s="2"/>
    </row>
    <row r="195" spans="1:28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  <c r="AB195" s="2"/>
    </row>
    <row r="196" spans="1:28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  <c r="AB196" s="2"/>
    </row>
    <row r="197" spans="1:28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  <c r="AB197" s="2"/>
    </row>
    <row r="198" spans="1:28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  <c r="AB198" s="2"/>
    </row>
    <row r="199" spans="1:28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  <c r="AB199" s="2"/>
    </row>
    <row r="200" spans="1:28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  <c r="AB200" s="2"/>
    </row>
    <row r="201" spans="1:28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  <c r="AB201" s="2"/>
    </row>
    <row r="202" spans="1:28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  <c r="AB202" s="2"/>
    </row>
    <row r="203" spans="1:28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  <c r="AB203" s="2"/>
    </row>
    <row r="204" spans="1:28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  <c r="AB204" s="2"/>
    </row>
    <row r="205" spans="1:28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  <c r="AB205" s="2"/>
    </row>
    <row r="206" spans="1:28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  <c r="AB206" s="2"/>
    </row>
    <row r="207" spans="1:28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  <c r="AB207" s="2"/>
    </row>
    <row r="208" spans="1:28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  <c r="AB208" s="2"/>
    </row>
    <row r="209" spans="1:28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  <c r="AB209" s="2"/>
    </row>
    <row r="210" spans="1:28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  <c r="AB210" s="2"/>
    </row>
    <row r="211" spans="1:28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  <c r="AB211" s="2"/>
    </row>
    <row r="212" spans="1:28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  <c r="AB212" s="2"/>
    </row>
    <row r="213" spans="1:28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  <c r="AB213" s="2"/>
    </row>
    <row r="214" spans="1:28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  <c r="AB214" s="2"/>
    </row>
    <row r="215" spans="1:28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  <c r="AB215" s="2"/>
    </row>
    <row r="216" spans="1:28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  <c r="AB216" s="2"/>
    </row>
    <row r="217" spans="1:28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  <c r="AB217" s="2"/>
    </row>
    <row r="218" spans="1:28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  <c r="AB218" s="2"/>
    </row>
    <row r="219" spans="1:28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  <c r="AB219" s="2"/>
    </row>
    <row r="220" spans="1:28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  <c r="AB220" s="2"/>
    </row>
    <row r="221" spans="1:28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  <c r="AB221" s="2"/>
    </row>
    <row r="222" spans="1:28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  <c r="AB222" s="2"/>
    </row>
    <row r="223" spans="1:28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  <c r="AB223" s="2"/>
    </row>
    <row r="224" spans="1:28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  <c r="AB224" s="2"/>
    </row>
    <row r="225" spans="1:28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  <c r="AB225" s="2"/>
    </row>
    <row r="226" spans="1:28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  <c r="AB226" s="2"/>
    </row>
    <row r="227" spans="1:28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  <c r="AB227" s="2"/>
    </row>
    <row r="228" spans="1:28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  <c r="AB228" s="2"/>
    </row>
    <row r="229" spans="1:28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  <c r="AB229" s="2"/>
    </row>
    <row r="230" spans="1:28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  <c r="AB230" s="2"/>
    </row>
    <row r="231" spans="1:28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  <c r="AB231" s="2"/>
    </row>
    <row r="232" spans="1:28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  <c r="AB232" s="2"/>
    </row>
    <row r="233" spans="1:28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  <c r="AB233" s="2"/>
    </row>
    <row r="234" spans="1:28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  <c r="AB234" s="2"/>
    </row>
    <row r="235" spans="1:28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  <c r="AB235" s="2"/>
    </row>
    <row r="236" spans="1:28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  <c r="AB236" s="2"/>
    </row>
    <row r="237" spans="1:28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  <c r="AB237" s="2"/>
    </row>
    <row r="238" spans="1:28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  <c r="AB238" s="2"/>
    </row>
    <row r="239" spans="1:28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  <c r="AB239" s="2"/>
    </row>
    <row r="240" spans="1:28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  <c r="AB240" s="2"/>
    </row>
    <row r="241" spans="1:28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  <c r="AB241" s="2"/>
    </row>
    <row r="242" spans="1:28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  <c r="AB242" s="2"/>
    </row>
    <row r="243" spans="1:28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  <c r="AB243" s="2"/>
    </row>
    <row r="244" spans="1:28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  <c r="AB244" s="2"/>
    </row>
    <row r="245" spans="1:28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  <c r="AB245" s="2"/>
    </row>
    <row r="246" spans="1:28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  <c r="AB246" s="2"/>
    </row>
    <row r="247" spans="1:28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  <c r="AB247" s="2"/>
    </row>
    <row r="248" spans="1:28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  <c r="AB248" s="2"/>
    </row>
    <row r="249" spans="1:28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  <c r="AB249" s="2"/>
    </row>
    <row r="250" spans="1:28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  <c r="AB250" s="2"/>
    </row>
    <row r="251" spans="1:28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  <c r="AB251" s="2"/>
    </row>
    <row r="252" spans="1:28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  <c r="AB252" s="2"/>
    </row>
    <row r="253" spans="1:28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  <c r="AB253" s="2"/>
    </row>
    <row r="254" spans="1:28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  <c r="AB254" s="2"/>
    </row>
    <row r="255" spans="1:28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  <c r="AB255" s="2"/>
    </row>
    <row r="256" spans="1:28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  <c r="AB256" s="2"/>
    </row>
    <row r="257" spans="1:28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  <c r="AB257" s="2"/>
    </row>
    <row r="258" spans="1:28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  <c r="AB258" s="2"/>
    </row>
    <row r="259" spans="1:28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  <c r="AB259" s="2"/>
    </row>
    <row r="260" spans="1:28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  <c r="AB260" s="2"/>
    </row>
    <row r="261" spans="1:28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  <c r="AB261" s="2"/>
    </row>
    <row r="262" spans="1:28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  <c r="AB262" s="2"/>
    </row>
    <row r="263" spans="1:28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  <c r="AB263" s="2"/>
    </row>
    <row r="264" spans="1:28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  <c r="AB264" s="2"/>
    </row>
    <row r="265" spans="1:28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  <c r="AB265" s="2"/>
    </row>
    <row r="266" spans="1:28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  <c r="AB266" s="2"/>
    </row>
    <row r="267" spans="1:28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  <c r="AB267" s="2"/>
    </row>
    <row r="268" spans="1:28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  <c r="AB268" s="2"/>
    </row>
    <row r="269" spans="1:28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  <c r="AB269" s="2"/>
    </row>
    <row r="270" spans="1:28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  <c r="AB270" s="2"/>
    </row>
    <row r="271" spans="1:28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  <c r="AB271" s="2"/>
    </row>
    <row r="272" spans="1:28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  <c r="AB272" s="2"/>
    </row>
    <row r="273" spans="1:28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  <c r="AB273" s="2"/>
    </row>
    <row r="274" spans="1:28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  <c r="AB274" s="2"/>
    </row>
    <row r="275" spans="1:28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  <c r="AB275" s="2"/>
    </row>
    <row r="276" spans="1:28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  <c r="AB276" s="2"/>
    </row>
    <row r="277" spans="1:28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  <c r="AB277" s="2"/>
    </row>
    <row r="278" spans="1:28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  <c r="AB278" s="2"/>
    </row>
    <row r="279" spans="1:28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  <c r="AB279" s="2"/>
    </row>
    <row r="280" spans="1:28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  <c r="AB280" s="2"/>
    </row>
    <row r="281" spans="1:28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  <c r="AB281" s="2"/>
    </row>
    <row r="282" spans="1:28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  <c r="AB282" s="2"/>
    </row>
    <row r="283" spans="1:28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  <c r="AB283" s="2"/>
    </row>
    <row r="284" spans="1:28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  <c r="AB284" s="2"/>
    </row>
    <row r="285" spans="1:28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  <c r="AB285" s="2"/>
    </row>
    <row r="286" spans="1:28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  <c r="AB286" s="2"/>
    </row>
    <row r="287" spans="1:28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  <c r="AB287" s="2"/>
    </row>
    <row r="288" spans="1:28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  <c r="AB288" s="2"/>
    </row>
    <row r="289" spans="1:28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  <c r="AB289" s="2"/>
    </row>
    <row r="290" spans="1:28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  <c r="AB290" s="2"/>
    </row>
    <row r="291" spans="1:28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  <c r="AB291" s="2"/>
    </row>
    <row r="292" spans="1:28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  <c r="AB292" s="2"/>
    </row>
    <row r="293" spans="1:28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  <c r="AB293" s="2"/>
    </row>
    <row r="294" spans="1:28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  <c r="AB294" s="2"/>
    </row>
    <row r="295" spans="1:28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  <c r="AB295" s="2"/>
    </row>
    <row r="296" spans="1:28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  <c r="AB296" s="2"/>
    </row>
    <row r="297" spans="1:28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  <c r="AB297" s="2"/>
    </row>
    <row r="298" spans="1:28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  <c r="AB298" s="2"/>
    </row>
    <row r="299" spans="1:28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  <c r="AB299" s="2"/>
    </row>
    <row r="300" spans="1:28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  <c r="AB300" s="2"/>
    </row>
    <row r="301" spans="1:28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  <c r="AB301" s="2"/>
    </row>
    <row r="302" spans="1:28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  <c r="AB302" s="2"/>
    </row>
    <row r="303" spans="1:28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  <c r="AB303" s="2"/>
    </row>
    <row r="304" spans="1:28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  <c r="AB304" s="2"/>
    </row>
    <row r="305" spans="1:28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  <c r="AB305" s="2"/>
    </row>
    <row r="306" spans="1:28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  <c r="AB306" s="2"/>
    </row>
    <row r="307" spans="1:28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  <c r="AB307" s="2"/>
    </row>
    <row r="308" spans="1:28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  <c r="AB308" s="2"/>
    </row>
    <row r="309" spans="1:28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  <c r="AB309" s="2"/>
    </row>
    <row r="310" spans="1:28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  <c r="AB310" s="2"/>
    </row>
    <row r="311" spans="1:28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  <c r="AB311" s="2"/>
    </row>
    <row r="312" spans="1:28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  <c r="AB312" s="2"/>
    </row>
    <row r="313" spans="1:28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  <c r="AB313" s="2"/>
    </row>
    <row r="314" spans="1:28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  <c r="AB314" s="2"/>
    </row>
    <row r="315" spans="1:28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  <c r="AB315" s="2"/>
    </row>
    <row r="316" spans="1:28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  <c r="AB316" s="2"/>
    </row>
    <row r="317" spans="1:28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  <c r="AB317" s="2"/>
    </row>
    <row r="318" spans="1:28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  <c r="AB318" s="2"/>
    </row>
    <row r="319" spans="1:28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  <c r="AB319" s="2"/>
    </row>
    <row r="320" spans="1:28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  <c r="AB320" s="2"/>
    </row>
    <row r="321" spans="1:28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  <c r="AB321" s="2"/>
    </row>
    <row r="322" spans="1:28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  <c r="AB322" s="2"/>
    </row>
    <row r="323" spans="1:28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  <c r="AB323" s="2"/>
    </row>
    <row r="324" spans="1:28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  <c r="AB324" s="2"/>
    </row>
    <row r="325" spans="1:28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  <c r="AB325" s="2"/>
    </row>
    <row r="326" spans="1:28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  <c r="AB326" s="2"/>
    </row>
    <row r="327" spans="1:28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  <c r="AB327" s="2"/>
    </row>
    <row r="328" spans="1:28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  <c r="AB328" s="2"/>
    </row>
    <row r="329" spans="1:28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  <c r="AB329" s="2"/>
    </row>
    <row r="330" spans="1:28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  <c r="AB330" s="2"/>
    </row>
    <row r="331" spans="1:28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  <c r="AB331" s="2"/>
    </row>
    <row r="332" spans="1:28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  <c r="AB332" s="2"/>
    </row>
    <row r="333" spans="1:28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  <c r="AB333" s="2"/>
    </row>
    <row r="334" spans="1:28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  <c r="AB334" s="2"/>
    </row>
    <row r="335" spans="1:28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  <c r="AB335" s="2"/>
    </row>
    <row r="336" spans="1:28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  <c r="AB336" s="2"/>
    </row>
    <row r="337" spans="1:28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  <c r="AB337" s="2"/>
    </row>
    <row r="338" spans="1:28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  <c r="AB338" s="2"/>
    </row>
    <row r="339" spans="1:28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  <c r="AB339" s="2"/>
    </row>
    <row r="340" spans="1:28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  <c r="AB340" s="2"/>
    </row>
    <row r="341" spans="1:28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  <c r="AB341" s="2"/>
    </row>
    <row r="342" spans="1:28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  <c r="AB342" s="2"/>
    </row>
    <row r="343" spans="1:28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  <c r="AB343" s="2"/>
    </row>
    <row r="344" spans="1:28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  <c r="AB344" s="2"/>
    </row>
    <row r="345" spans="1:28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  <c r="AB345" s="2"/>
    </row>
    <row r="346" spans="1:28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  <c r="AB346" s="2"/>
    </row>
    <row r="347" spans="1:28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  <c r="AB347" s="2"/>
    </row>
    <row r="348" spans="1:28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  <c r="AB348" s="2"/>
    </row>
    <row r="349" spans="1:28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  <c r="AB349" s="2"/>
    </row>
    <row r="350" spans="1:28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  <c r="AB350" s="2"/>
    </row>
    <row r="351" spans="1:28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  <c r="AB351" s="2"/>
    </row>
    <row r="352" spans="1:28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  <c r="AB352" s="2"/>
    </row>
    <row r="353" spans="1:28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  <c r="AB353" s="2"/>
    </row>
    <row r="354" spans="1:28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  <c r="AB354" s="2"/>
    </row>
    <row r="355" spans="1:28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  <c r="AB355" s="2"/>
    </row>
    <row r="356" spans="1:28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  <c r="AB356" s="2"/>
    </row>
    <row r="357" spans="1:28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  <c r="AB357" s="2"/>
    </row>
    <row r="358" spans="1:28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  <c r="AB358" s="2"/>
    </row>
    <row r="359" spans="1:28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  <c r="AB359" s="2"/>
    </row>
    <row r="360" spans="1:28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  <c r="AB360" s="2"/>
    </row>
    <row r="361" spans="1:28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  <c r="AB361" s="2"/>
    </row>
    <row r="362" spans="1:28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  <c r="AB362" s="2"/>
    </row>
    <row r="363" spans="1:28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  <c r="AB363" s="2"/>
    </row>
    <row r="364" spans="1:28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  <c r="AB364" s="2"/>
    </row>
    <row r="365" spans="1:28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  <c r="AB365" s="2"/>
    </row>
    <row r="366" spans="1:28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  <c r="AB366" s="2"/>
    </row>
    <row r="367" spans="1:28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  <c r="AB367" s="2"/>
    </row>
    <row r="368" spans="1:28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  <c r="AB368" s="2"/>
    </row>
    <row r="369" spans="1:28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  <c r="AB369" s="2"/>
    </row>
    <row r="370" spans="1:28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  <c r="AB370" s="2"/>
    </row>
    <row r="371" spans="1:28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  <c r="AB371" s="2"/>
    </row>
    <row r="372" spans="1:28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  <c r="AB372" s="2"/>
    </row>
    <row r="373" spans="1:28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  <c r="AB373" s="2"/>
    </row>
    <row r="374" spans="1:28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  <c r="AB374" s="2"/>
    </row>
    <row r="375" spans="1:28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  <c r="AB375" s="2"/>
    </row>
    <row r="376" spans="1:28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  <c r="AB376" s="2"/>
    </row>
    <row r="377" spans="1:28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  <c r="AB377" s="2"/>
    </row>
    <row r="378" spans="1:28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  <c r="AB378" s="2"/>
    </row>
    <row r="379" spans="1:28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  <c r="AB379" s="2"/>
    </row>
    <row r="380" spans="1:28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  <c r="AB380" s="2"/>
    </row>
    <row r="381" spans="1:28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  <c r="AB381" s="2"/>
    </row>
    <row r="382" spans="1:28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  <c r="AB382" s="2"/>
    </row>
    <row r="383" spans="1:28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  <c r="AB383" s="2"/>
    </row>
    <row r="384" spans="1:28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  <c r="AB384" s="2"/>
    </row>
    <row r="385" spans="1:28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  <c r="AB385" s="2"/>
    </row>
    <row r="386" spans="1:28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  <c r="AB386" s="2"/>
    </row>
    <row r="387" spans="1:28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  <c r="AB387" s="2"/>
    </row>
    <row r="388" spans="1:28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  <c r="AB388" s="2"/>
    </row>
    <row r="389" spans="1:28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  <c r="AB389" s="2"/>
    </row>
    <row r="390" spans="1:28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  <c r="AB390" s="2"/>
    </row>
    <row r="391" spans="1:28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  <c r="AB391" s="2"/>
    </row>
    <row r="392" spans="1:28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  <c r="AB392" s="2"/>
    </row>
    <row r="393" spans="1:28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  <c r="AB393" s="2"/>
    </row>
    <row r="394" spans="1:28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  <c r="AB394" s="2"/>
    </row>
    <row r="395" spans="1:28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  <c r="AB395" s="2"/>
    </row>
    <row r="396" spans="1:28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  <c r="AB396" s="2"/>
    </row>
    <row r="397" spans="1:28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  <c r="AB397" s="2"/>
    </row>
    <row r="398" spans="1:28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  <c r="AB398" s="2"/>
    </row>
    <row r="399" spans="1:28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  <c r="AB399" s="2"/>
    </row>
    <row r="400" spans="1:28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  <c r="AB400" s="2"/>
    </row>
    <row r="401" spans="1:28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  <c r="AB401" s="2"/>
    </row>
    <row r="402" spans="1:28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  <c r="AB402" s="2"/>
    </row>
    <row r="403" spans="1:28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  <c r="AB403" s="2"/>
    </row>
    <row r="404" spans="1:28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  <c r="AB404" s="2"/>
    </row>
    <row r="405" spans="1:28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  <c r="AB405" s="2"/>
    </row>
    <row r="406" spans="1:28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  <c r="AB406" s="2"/>
    </row>
    <row r="407" spans="1:28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  <c r="AB407" s="2"/>
    </row>
    <row r="408" spans="1:28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  <c r="AB408" s="2"/>
    </row>
    <row r="409" spans="1:28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  <c r="AB409" s="2"/>
    </row>
    <row r="410" spans="1:28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  <c r="AB410" s="2"/>
    </row>
    <row r="411" spans="1:28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  <c r="AB411" s="2"/>
    </row>
    <row r="412" spans="1:28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  <c r="AB412" s="2"/>
    </row>
    <row r="413" spans="1:28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  <c r="AB413" s="2"/>
    </row>
    <row r="414" spans="1:28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  <c r="AB414" s="2"/>
    </row>
    <row r="415" spans="1:28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  <c r="AB415" s="2"/>
    </row>
    <row r="416" spans="1:28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  <c r="AB416" s="2"/>
    </row>
    <row r="417" spans="1:28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  <c r="AB417" s="2"/>
    </row>
    <row r="418" spans="1:28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  <c r="AB418" s="2"/>
    </row>
    <row r="419" spans="1:28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  <c r="AB419" s="2"/>
    </row>
    <row r="420" spans="1:28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  <c r="AB420" s="2"/>
    </row>
    <row r="421" spans="1:28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  <c r="AB421" s="2"/>
    </row>
    <row r="422" spans="1:28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  <c r="AB422" s="2"/>
    </row>
    <row r="423" spans="1:28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  <c r="AB423" s="2"/>
    </row>
    <row r="424" spans="1:28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  <c r="AB424" s="2"/>
    </row>
    <row r="425" spans="1:28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  <c r="AB425" s="2"/>
    </row>
    <row r="426" spans="1:28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  <c r="AB426" s="2"/>
    </row>
    <row r="427" spans="1:28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  <c r="AB427" s="2"/>
    </row>
    <row r="428" spans="1:28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  <c r="AB428" s="2"/>
    </row>
    <row r="429" spans="1:28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  <c r="AB429" s="2"/>
    </row>
    <row r="430" spans="1:28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  <c r="AB430" s="2"/>
    </row>
    <row r="431" spans="1:28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  <c r="AB431" s="2"/>
    </row>
    <row r="432" spans="1:28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  <c r="AB432" s="2"/>
    </row>
    <row r="433" spans="1:28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  <c r="AB433" s="2"/>
    </row>
    <row r="434" spans="1:28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  <c r="AB434" s="2"/>
    </row>
    <row r="435" spans="1:28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  <c r="AB435" s="2"/>
    </row>
    <row r="436" spans="1:28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  <c r="AB436" s="2"/>
    </row>
    <row r="437" spans="1:28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  <c r="AB437" s="2"/>
    </row>
    <row r="438" spans="1:28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  <c r="AB438" s="2"/>
    </row>
    <row r="439" spans="1:28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  <c r="AB439" s="2"/>
    </row>
    <row r="440" spans="1:28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  <c r="AB440" s="2"/>
    </row>
    <row r="441" spans="1:28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  <c r="AB441" s="2"/>
    </row>
    <row r="442" spans="1:28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  <c r="AB442" s="2"/>
    </row>
    <row r="443" spans="1:28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  <c r="AB443" s="2"/>
    </row>
    <row r="444" spans="1:28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  <c r="AB444" s="2"/>
    </row>
    <row r="445" spans="1:28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  <c r="AB445" s="2"/>
    </row>
    <row r="446" spans="1:28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  <c r="AB446" s="2"/>
    </row>
    <row r="447" spans="1:28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  <c r="AB447" s="2"/>
    </row>
    <row r="448" spans="1:28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  <c r="AB448" s="2"/>
    </row>
    <row r="449" spans="1:28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  <c r="AB449" s="2"/>
    </row>
    <row r="450" spans="1:28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  <c r="AB450" s="2"/>
    </row>
    <row r="451" spans="1:28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  <c r="AB451" s="2"/>
    </row>
    <row r="452" spans="1:28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  <c r="AB452" s="2"/>
    </row>
    <row r="453" spans="1:28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  <c r="AB453" s="2"/>
    </row>
    <row r="454" spans="1:28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  <c r="AB454" s="2"/>
    </row>
    <row r="455" spans="1:28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  <c r="AB455" s="2"/>
    </row>
    <row r="456" spans="1:28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  <c r="AB456" s="2"/>
    </row>
    <row r="457" spans="1:28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  <c r="AB457" s="2"/>
    </row>
    <row r="458" spans="1:28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  <c r="AB458" s="2"/>
    </row>
    <row r="459" spans="1:28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  <c r="AB459" s="2"/>
    </row>
    <row r="460" spans="1:28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  <c r="AB460" s="2"/>
    </row>
    <row r="461" spans="1:28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  <c r="AB461" s="2"/>
    </row>
    <row r="462" spans="1:28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  <c r="AB462" s="2"/>
    </row>
    <row r="463" spans="1:28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  <c r="AB463" s="2"/>
    </row>
    <row r="464" spans="1:28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  <c r="AB464" s="2"/>
    </row>
    <row r="465" spans="1:28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  <c r="AB465" s="2"/>
    </row>
    <row r="466" spans="1:28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  <c r="AB466" s="2"/>
    </row>
    <row r="467" spans="1:28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  <c r="AB467" s="2"/>
    </row>
    <row r="468" spans="1:28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  <c r="AB468" s="2"/>
    </row>
    <row r="469" spans="1:28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  <c r="AB469" s="2"/>
    </row>
    <row r="470" spans="1:28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  <c r="AB470" s="2"/>
    </row>
    <row r="471" spans="1:28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  <c r="AB471" s="2"/>
    </row>
    <row r="472" spans="1:28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  <c r="AB472" s="2"/>
    </row>
    <row r="473" spans="1:28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  <c r="AB473" s="2"/>
    </row>
    <row r="474" spans="1:28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  <c r="AB474" s="2"/>
    </row>
    <row r="475" spans="1:28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  <c r="AB475" s="2"/>
    </row>
    <row r="476" spans="1:28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  <c r="AB476" s="2"/>
    </row>
    <row r="477" spans="1:28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  <c r="AB477" s="2"/>
    </row>
    <row r="478" spans="1:28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  <c r="AB478" s="2"/>
    </row>
    <row r="479" spans="1:28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  <c r="AB479" s="2"/>
    </row>
    <row r="480" spans="1:28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  <c r="AB480" s="2"/>
    </row>
    <row r="481" spans="1:28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  <c r="AB481" s="2"/>
    </row>
    <row r="482" spans="1:28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  <c r="AB482" s="2"/>
    </row>
    <row r="483" spans="1:28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  <c r="AB483" s="2"/>
    </row>
    <row r="484" spans="1:28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  <c r="AB484" s="2"/>
    </row>
    <row r="485" spans="1:28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  <c r="AB485" s="2"/>
    </row>
    <row r="486" spans="1:28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  <c r="AB486" s="2"/>
    </row>
    <row r="487" spans="1:28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  <c r="AB487" s="2"/>
    </row>
    <row r="488" spans="1:28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  <c r="AB488" s="2"/>
    </row>
    <row r="489" spans="1:28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  <c r="AB489" s="2"/>
    </row>
    <row r="490" spans="1:28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  <c r="AB490" s="2"/>
    </row>
    <row r="491" spans="1:28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  <c r="AB491" s="2"/>
    </row>
    <row r="492" spans="1:28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  <c r="AB492" s="2"/>
    </row>
    <row r="493" spans="1:28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  <c r="AB493" s="2"/>
    </row>
    <row r="494" spans="1:28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  <c r="AB494" s="2"/>
    </row>
    <row r="495" spans="1:28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  <c r="AB495" s="2"/>
    </row>
    <row r="496" spans="1:28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  <c r="AB496" s="2"/>
    </row>
    <row r="497" spans="1:28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  <c r="AB497" s="2"/>
    </row>
    <row r="498" spans="1:28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  <c r="AB498" s="2"/>
    </row>
    <row r="499" spans="1:28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  <c r="AB499" s="2"/>
    </row>
    <row r="500" spans="1:28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  <c r="AB500" s="2"/>
    </row>
    <row r="501" spans="1:28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  <c r="AB501" s="2"/>
    </row>
    <row r="502" spans="1:28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  <c r="AB502" s="2"/>
    </row>
    <row r="503" spans="1:28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  <c r="AB503" s="2"/>
    </row>
    <row r="504" spans="1:28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  <c r="AB504" s="2"/>
    </row>
    <row r="505" spans="1:28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  <c r="AB505" s="2"/>
    </row>
    <row r="506" spans="1:28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  <c r="AB506" s="2"/>
    </row>
    <row r="507" spans="1:28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  <c r="AB507" s="2"/>
    </row>
    <row r="508" spans="1:28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  <c r="AB508" s="2"/>
    </row>
    <row r="509" spans="1:28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  <c r="AB509" s="2"/>
    </row>
    <row r="510" spans="1:28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  <c r="AB510" s="2"/>
    </row>
    <row r="511" spans="1:28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  <c r="AB511" s="2"/>
    </row>
    <row r="512" spans="1:28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  <c r="AB512" s="2"/>
    </row>
    <row r="513" spans="1:28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  <c r="AB513" s="2"/>
    </row>
    <row r="514" spans="1:28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  <c r="AB514" s="2"/>
    </row>
    <row r="515" spans="1:28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  <c r="AB515" s="2"/>
    </row>
    <row r="516" spans="1:28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  <c r="AB516" s="2"/>
    </row>
    <row r="517" spans="1:28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  <c r="AB517" s="2"/>
    </row>
    <row r="518" spans="1:28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  <c r="AB518" s="2"/>
    </row>
    <row r="519" spans="1:28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  <c r="AB519" s="2"/>
    </row>
    <row r="520" spans="1:28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  <c r="AB520" s="2"/>
    </row>
    <row r="521" spans="1:28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  <c r="AB521" s="2"/>
    </row>
    <row r="522" spans="1:28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  <c r="AB522" s="2"/>
    </row>
    <row r="523" spans="1:28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  <c r="AB523" s="2"/>
    </row>
    <row r="524" spans="1:28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  <c r="AB524" s="2"/>
    </row>
    <row r="525" spans="1:28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  <c r="AB525" s="2"/>
    </row>
    <row r="526" spans="1:28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  <c r="AB526" s="2"/>
    </row>
    <row r="527" spans="1:28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  <c r="AB527" s="2"/>
    </row>
    <row r="528" spans="1:28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  <c r="AB528" s="2"/>
    </row>
    <row r="529" spans="1:28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  <c r="AB529" s="2"/>
    </row>
    <row r="530" spans="1:28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  <c r="AB530" s="2"/>
    </row>
    <row r="531" spans="1:28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  <c r="AB531" s="2"/>
    </row>
    <row r="532" spans="1:28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  <c r="AB532" s="2"/>
    </row>
    <row r="533" spans="1:28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  <c r="AB533" s="2"/>
    </row>
    <row r="534" spans="1:28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  <c r="AB534" s="2"/>
    </row>
    <row r="535" spans="1:28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  <c r="AB535" s="2"/>
    </row>
    <row r="536" spans="1:28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  <c r="AB536" s="2"/>
    </row>
    <row r="537" spans="1:28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  <c r="AB537" s="2"/>
    </row>
    <row r="538" spans="1:28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  <c r="AB538" s="2"/>
    </row>
    <row r="539" spans="1:28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  <c r="AB539" s="2"/>
    </row>
    <row r="540" spans="1:28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  <c r="AB540" s="2"/>
    </row>
    <row r="541" spans="1:28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  <c r="AB541" s="2"/>
    </row>
    <row r="542" spans="1:28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  <c r="AB542" s="2"/>
    </row>
    <row r="543" spans="1:28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  <c r="AB543" s="2"/>
    </row>
    <row r="544" spans="1:28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  <c r="AB544" s="2"/>
    </row>
    <row r="545" spans="1:28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  <c r="AB545" s="2"/>
    </row>
    <row r="546" spans="1:28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  <c r="AB546" s="2"/>
    </row>
    <row r="547" spans="1:28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  <c r="AB547" s="2"/>
    </row>
    <row r="548" spans="1:28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  <c r="AB548" s="2"/>
    </row>
    <row r="549" spans="1:28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  <c r="AB549" s="2"/>
    </row>
    <row r="550" spans="1:28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  <c r="AB550" s="2"/>
    </row>
    <row r="551" spans="1:28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  <c r="AB551" s="2"/>
    </row>
    <row r="552" spans="1:28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  <c r="AB552" s="2"/>
    </row>
    <row r="553" spans="1:28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  <c r="AB553" s="2"/>
    </row>
    <row r="554" spans="1:28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  <c r="AB554" s="2"/>
    </row>
    <row r="555" spans="1:28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  <c r="AB555" s="2"/>
    </row>
    <row r="556" spans="1:28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  <c r="AB556" s="2"/>
    </row>
    <row r="557" spans="1:28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  <c r="AB557" s="2"/>
    </row>
    <row r="558" spans="1:28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  <c r="AB558" s="2"/>
    </row>
    <row r="559" spans="1:28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  <c r="AB559" s="2"/>
    </row>
    <row r="560" spans="1:28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  <c r="AB560" s="2"/>
    </row>
    <row r="561" spans="1:28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  <c r="AB561" s="2"/>
    </row>
    <row r="562" spans="1:28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  <c r="AB562" s="2"/>
    </row>
    <row r="563" spans="1:28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  <c r="AB563" s="2"/>
    </row>
    <row r="564" spans="1:28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  <c r="AB564" s="2"/>
    </row>
    <row r="565" spans="1:28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  <c r="AB565" s="2"/>
    </row>
    <row r="566" spans="1:28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  <c r="AB566" s="2"/>
    </row>
    <row r="567" spans="1:28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  <c r="AB567" s="2"/>
    </row>
    <row r="568" spans="1:28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  <c r="AB568" s="2"/>
    </row>
    <row r="569" spans="1:28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  <c r="AB569" s="2"/>
    </row>
    <row r="570" spans="1:28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  <c r="AB570" s="2"/>
    </row>
    <row r="571" spans="1:28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  <c r="AB571" s="2"/>
    </row>
    <row r="572" spans="1:28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  <c r="AB572" s="2"/>
    </row>
    <row r="573" spans="1:28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  <c r="AB573" s="2"/>
    </row>
    <row r="574" spans="1:28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  <c r="AB574" s="2"/>
    </row>
    <row r="575" spans="1:28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  <c r="AB575" s="2"/>
    </row>
    <row r="576" spans="1:28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  <c r="AB576" s="2"/>
    </row>
    <row r="577" spans="1:28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  <c r="AB577" s="2"/>
    </row>
    <row r="578" spans="1:28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  <c r="AB578" s="2"/>
    </row>
    <row r="579" spans="1:28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  <c r="AB579" s="2"/>
    </row>
    <row r="580" spans="1:28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  <c r="AB580" s="2"/>
    </row>
    <row r="581" spans="1:28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  <c r="AB581" s="2"/>
    </row>
    <row r="582" spans="1:28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  <c r="AB582" s="2"/>
    </row>
    <row r="583" spans="1:28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  <c r="AB583" s="2"/>
    </row>
    <row r="584" spans="1:28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  <c r="AB584" s="2"/>
    </row>
    <row r="585" spans="1:28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  <c r="AB585" s="2"/>
    </row>
    <row r="586" spans="1:28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  <c r="AB586" s="2"/>
    </row>
    <row r="587" spans="1:28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  <c r="AB587" s="2"/>
    </row>
    <row r="588" spans="1:28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  <c r="AB588" s="2"/>
    </row>
    <row r="589" spans="1:28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  <c r="AB589" s="2"/>
    </row>
    <row r="590" spans="1:28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  <c r="AB590" s="2"/>
    </row>
    <row r="591" spans="1:28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  <c r="AB591" s="2"/>
    </row>
    <row r="592" spans="1:28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  <c r="AB592" s="2"/>
    </row>
    <row r="593" spans="1:28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  <c r="AB593" s="2"/>
    </row>
    <row r="594" spans="1:28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  <c r="AB594" s="2"/>
    </row>
    <row r="595" spans="1:28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  <c r="AB595" s="2"/>
    </row>
    <row r="596" spans="1:28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  <c r="AB596" s="2"/>
    </row>
    <row r="597" spans="1:28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  <c r="AB597" s="2"/>
    </row>
    <row r="598" spans="1:28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  <c r="AB598" s="2"/>
    </row>
    <row r="599" spans="1:28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  <c r="AB599" s="2"/>
    </row>
    <row r="600" spans="1:28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  <c r="AB600" s="2"/>
    </row>
    <row r="601" spans="1:28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  <c r="AB601" s="2"/>
    </row>
    <row r="602" spans="1:28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  <c r="AB602" s="2"/>
    </row>
    <row r="603" spans="1:28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  <c r="AB603" s="2"/>
    </row>
    <row r="604" spans="1:28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  <c r="AB604" s="2"/>
    </row>
    <row r="605" spans="1:28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  <c r="AB605" s="2"/>
    </row>
    <row r="606" spans="1:28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  <c r="AB606" s="2"/>
    </row>
    <row r="607" spans="1:28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  <c r="AB607" s="2"/>
    </row>
    <row r="608" spans="1:28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  <c r="AB608" s="2"/>
    </row>
    <row r="609" spans="1:28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  <c r="AB609" s="2"/>
    </row>
    <row r="610" spans="1:28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  <c r="AB610" s="2"/>
    </row>
    <row r="611" spans="1:28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  <c r="AB611" s="2"/>
    </row>
    <row r="612" spans="1:28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  <c r="AB612" s="2"/>
    </row>
    <row r="613" spans="1:28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  <c r="AB613" s="2"/>
    </row>
    <row r="614" spans="1:28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  <c r="AB614" s="2"/>
    </row>
    <row r="615" spans="1:28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  <c r="AB615" s="2"/>
    </row>
    <row r="616" spans="1:28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  <c r="AB616" s="2"/>
    </row>
    <row r="617" spans="1:28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  <c r="AB617" s="2"/>
    </row>
    <row r="618" spans="1:28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  <c r="AB618" s="2"/>
    </row>
    <row r="619" spans="1:28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  <c r="AB619" s="2"/>
    </row>
    <row r="620" spans="1:28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  <c r="AB620" s="2"/>
    </row>
    <row r="621" spans="1:28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  <c r="AB621" s="2"/>
    </row>
    <row r="622" spans="1:28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  <c r="AB622" s="2"/>
    </row>
    <row r="623" spans="1:28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  <c r="AB623" s="2"/>
    </row>
    <row r="624" spans="1:28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  <c r="AB624" s="2"/>
    </row>
    <row r="625" spans="1:28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  <c r="AB625" s="2"/>
    </row>
    <row r="626" spans="1:28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  <c r="AB626" s="2"/>
    </row>
    <row r="627" spans="1:28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  <c r="AB627" s="2"/>
    </row>
    <row r="628" spans="1:28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  <c r="AB628" s="2"/>
    </row>
    <row r="629" spans="1:28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  <c r="AB629" s="2"/>
    </row>
    <row r="630" spans="1:28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  <c r="AB630" s="2"/>
    </row>
    <row r="631" spans="1:28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  <c r="AB631" s="2"/>
    </row>
    <row r="632" spans="1:28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  <c r="AB632" s="2"/>
    </row>
    <row r="633" spans="1:28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  <c r="AB633" s="2"/>
    </row>
    <row r="634" spans="1:28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  <c r="AB634" s="2"/>
    </row>
    <row r="635" spans="1:28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  <c r="AB635" s="2"/>
    </row>
    <row r="636" spans="1:28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  <c r="AB636" s="2"/>
    </row>
    <row r="637" spans="1:28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  <c r="AB637" s="2"/>
    </row>
    <row r="638" spans="1:28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  <c r="AB638" s="2"/>
    </row>
    <row r="639" spans="1:28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  <c r="AB639" s="2"/>
    </row>
    <row r="640" spans="1:28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  <c r="AB640" s="2"/>
    </row>
    <row r="641" spans="1:28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  <c r="AB641" s="2"/>
    </row>
    <row r="642" spans="1:28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  <c r="AB642" s="2"/>
    </row>
    <row r="643" spans="1:28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  <c r="AB643" s="2"/>
    </row>
    <row r="644" spans="1:28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  <c r="AB644" s="2"/>
    </row>
    <row r="645" spans="1:28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  <c r="AB645" s="2"/>
    </row>
    <row r="646" spans="1:28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  <c r="AB646" s="2"/>
    </row>
    <row r="647" spans="1:28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  <c r="AB647" s="2"/>
    </row>
    <row r="648" spans="1:28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  <c r="AB648" s="2"/>
    </row>
    <row r="649" spans="1:28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  <c r="AB649" s="2"/>
    </row>
    <row r="650" spans="1:28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  <c r="AB650" s="2"/>
    </row>
    <row r="651" spans="1:28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  <c r="AB651" s="2"/>
    </row>
    <row r="652" spans="1:28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  <c r="AB652" s="2"/>
    </row>
    <row r="653" spans="1:28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  <c r="AB653" s="2"/>
    </row>
    <row r="654" spans="1:28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  <c r="AB654" s="2"/>
    </row>
    <row r="655" spans="1:28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  <c r="AB655" s="2"/>
    </row>
    <row r="656" spans="1:28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  <c r="AB656" s="2"/>
    </row>
    <row r="657" spans="1:28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  <c r="AB657" s="2"/>
    </row>
    <row r="658" spans="1:28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  <c r="AB658" s="2"/>
    </row>
    <row r="659" spans="1:28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  <c r="AB659" s="2"/>
    </row>
    <row r="660" spans="1:28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  <c r="AB660" s="2"/>
    </row>
    <row r="661" spans="1:28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  <c r="AB661" s="2"/>
    </row>
    <row r="662" spans="1:28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  <c r="AB662" s="2"/>
    </row>
    <row r="663" spans="1:28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  <c r="AB663" s="2"/>
    </row>
    <row r="664" spans="1:28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  <c r="AB664" s="2"/>
    </row>
    <row r="665" spans="1:28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  <c r="AB665" s="2"/>
    </row>
    <row r="666" spans="1:28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  <c r="AB666" s="2"/>
    </row>
    <row r="667" spans="1:28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  <c r="AB667" s="2"/>
    </row>
    <row r="668" spans="1:28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  <c r="AB668" s="2"/>
    </row>
    <row r="669" spans="1:28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  <c r="AB669" s="2"/>
    </row>
    <row r="670" spans="1:28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  <c r="AB670" s="2"/>
    </row>
    <row r="671" spans="1:28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  <c r="AB671" s="2"/>
    </row>
    <row r="672" spans="1:28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  <c r="AB672" s="2"/>
    </row>
    <row r="673" spans="1:28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  <c r="AB673" s="2"/>
    </row>
    <row r="674" spans="1:28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  <c r="AB674" s="2"/>
    </row>
    <row r="675" spans="1:28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  <c r="AB675" s="2"/>
    </row>
    <row r="676" spans="1:28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  <c r="AB676" s="2"/>
    </row>
    <row r="677" spans="1:28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  <c r="AB677" s="2"/>
    </row>
    <row r="678" spans="1:28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  <c r="AB678" s="2"/>
    </row>
    <row r="679" spans="1:28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  <c r="AB679" s="2"/>
    </row>
    <row r="680" spans="1:28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  <c r="AB680" s="2"/>
    </row>
    <row r="681" spans="1:28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  <c r="AB681" s="2"/>
    </row>
    <row r="682" spans="1:28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  <c r="AB682" s="2"/>
    </row>
    <row r="683" spans="1:28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  <c r="AB683" s="2"/>
    </row>
    <row r="684" spans="1:28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  <c r="AB684" s="2"/>
    </row>
    <row r="685" spans="1:28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  <c r="AB685" s="2"/>
    </row>
    <row r="686" spans="1:28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  <c r="AB686" s="2"/>
    </row>
    <row r="687" spans="1:28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  <c r="AB687" s="2"/>
    </row>
    <row r="688" spans="1:28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  <c r="AB688" s="2"/>
    </row>
    <row r="689" spans="1:28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  <c r="AB689" s="2"/>
    </row>
    <row r="690" spans="1:28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  <c r="AB690" s="2"/>
    </row>
    <row r="691" spans="1:28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  <c r="AB691" s="2"/>
    </row>
    <row r="692" spans="1:28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  <c r="AB692" s="2"/>
    </row>
    <row r="693" spans="1:28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  <c r="AB693" s="2"/>
    </row>
    <row r="694" spans="1:28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  <c r="AB694" s="2"/>
    </row>
    <row r="695" spans="1:28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  <c r="AB695" s="2"/>
    </row>
    <row r="696" spans="1:28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  <c r="AB696" s="2"/>
    </row>
    <row r="697" spans="1:28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  <c r="AB697" s="2"/>
    </row>
    <row r="698" spans="1:28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  <c r="AB698" s="2"/>
    </row>
    <row r="699" spans="1:28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  <c r="AB699" s="2"/>
    </row>
    <row r="700" spans="1:28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  <c r="AB700" s="2"/>
    </row>
    <row r="701" spans="1:28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  <c r="AB701" s="2"/>
    </row>
    <row r="702" spans="1:28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  <c r="AB702" s="2"/>
    </row>
    <row r="703" spans="1:28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  <c r="AB703" s="2"/>
    </row>
    <row r="704" spans="1:28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  <c r="AB704" s="2"/>
    </row>
    <row r="705" spans="1:28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  <c r="AB705" s="2"/>
    </row>
    <row r="706" spans="1:28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  <c r="AB706" s="2"/>
    </row>
    <row r="707" spans="1:28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  <c r="AB707" s="2"/>
    </row>
    <row r="708" spans="1:28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  <c r="AB708" s="2"/>
    </row>
    <row r="709" spans="1:28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  <c r="AB709" s="2"/>
    </row>
    <row r="710" spans="1:28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  <c r="AB710" s="2"/>
    </row>
    <row r="711" spans="1:28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  <c r="AB711" s="2"/>
    </row>
    <row r="712" spans="1:28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  <c r="AB712" s="2"/>
    </row>
    <row r="713" spans="1:28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  <c r="AB713" s="2"/>
    </row>
    <row r="714" spans="1:28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  <c r="AB714" s="2"/>
    </row>
    <row r="715" spans="1:28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  <c r="AB715" s="2"/>
    </row>
    <row r="716" spans="1:28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  <c r="AB716" s="2"/>
    </row>
    <row r="717" spans="1:28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  <c r="AB717" s="2"/>
    </row>
    <row r="718" spans="1:28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  <c r="AB718" s="2"/>
    </row>
    <row r="719" spans="1:28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  <c r="AB719" s="2"/>
    </row>
    <row r="720" spans="1:28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  <c r="AB720" s="2"/>
    </row>
    <row r="721" spans="1:28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  <c r="AB721" s="2"/>
    </row>
    <row r="722" spans="1:28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  <c r="AB722" s="2"/>
    </row>
    <row r="723" spans="1:28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  <c r="AB723" s="2"/>
    </row>
    <row r="724" spans="1:28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  <c r="AB724" s="2"/>
    </row>
    <row r="725" spans="1:28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  <c r="AB725" s="2"/>
    </row>
    <row r="726" spans="1:28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  <c r="AB726" s="2"/>
    </row>
    <row r="727" spans="1:28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  <c r="AB727" s="2"/>
    </row>
    <row r="728" spans="1:28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  <c r="AB728" s="2"/>
    </row>
    <row r="729" spans="1:28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  <c r="AB729" s="2"/>
    </row>
    <row r="730" spans="1:28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  <c r="AB730" s="2"/>
    </row>
    <row r="731" spans="1:28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  <c r="AB731" s="2"/>
    </row>
    <row r="732" spans="1:28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  <c r="AB732" s="2"/>
    </row>
    <row r="733" spans="1:28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  <c r="AB733" s="2"/>
    </row>
    <row r="734" spans="1:28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  <c r="AB734" s="2"/>
    </row>
    <row r="735" spans="1:28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  <c r="AB735" s="2"/>
    </row>
    <row r="736" spans="1:28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  <c r="AB736" s="2"/>
    </row>
    <row r="737" spans="1:28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  <c r="AB737" s="2"/>
    </row>
    <row r="738" spans="1:28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  <c r="AB738" s="2"/>
    </row>
    <row r="739" spans="1:28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  <c r="AB739" s="2"/>
    </row>
    <row r="740" spans="1:28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  <c r="AB740" s="2"/>
    </row>
    <row r="741" spans="1:28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  <c r="AB741" s="2"/>
    </row>
    <row r="742" spans="1:28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  <c r="AB742" s="2"/>
    </row>
    <row r="743" spans="1:28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  <c r="AB743" s="2"/>
    </row>
    <row r="744" spans="1:28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  <c r="AB744" s="2"/>
    </row>
    <row r="745" spans="1:28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  <c r="AB745" s="2"/>
    </row>
    <row r="746" spans="1:28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  <c r="AB746" s="2"/>
    </row>
    <row r="747" spans="1:28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  <c r="AB747" s="2"/>
    </row>
    <row r="748" spans="1:28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  <c r="AB748" s="2"/>
    </row>
    <row r="749" spans="1:28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  <c r="AB749" s="2"/>
    </row>
    <row r="750" spans="1:28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  <c r="AB750" s="2"/>
    </row>
    <row r="751" spans="1:28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  <c r="AB751" s="2"/>
    </row>
    <row r="752" spans="1:28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  <c r="AB752" s="2"/>
    </row>
    <row r="753" spans="1:28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  <c r="AB753" s="2"/>
    </row>
    <row r="754" spans="1:28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  <c r="AB754" s="2"/>
    </row>
    <row r="755" spans="1:28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  <c r="AB755" s="2"/>
    </row>
    <row r="756" spans="1:28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  <c r="AB756" s="2"/>
    </row>
    <row r="757" spans="1:28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  <c r="AB757" s="2"/>
    </row>
    <row r="758" spans="1:28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  <c r="AB758" s="2"/>
    </row>
    <row r="759" spans="1:28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  <c r="AB759" s="2"/>
    </row>
    <row r="760" spans="1:28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  <c r="AB760" s="2"/>
    </row>
    <row r="761" spans="1:28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  <c r="AB761" s="2"/>
    </row>
    <row r="762" spans="1:28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  <c r="AB762" s="2"/>
    </row>
    <row r="763" spans="1:28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  <c r="AB763" s="2"/>
    </row>
    <row r="764" spans="1:28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  <c r="AB764" s="2"/>
    </row>
    <row r="765" spans="1:28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  <c r="AB765" s="2"/>
    </row>
    <row r="766" spans="1:28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  <c r="AB766" s="2"/>
    </row>
    <row r="767" spans="1:28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  <c r="AB767" s="2"/>
    </row>
    <row r="768" spans="1:28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  <c r="AB768" s="2"/>
    </row>
    <row r="769" spans="1:28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  <c r="AB769" s="2"/>
    </row>
    <row r="770" spans="1:28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  <c r="AB770" s="2"/>
    </row>
    <row r="771" spans="1:28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  <c r="AB771" s="2"/>
    </row>
    <row r="772" spans="1:28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  <c r="AB772" s="2"/>
    </row>
    <row r="773" spans="1:28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  <c r="AB773" s="2"/>
    </row>
    <row r="774" spans="1:28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  <c r="AB774" s="2"/>
    </row>
    <row r="775" spans="1:28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  <c r="AB775" s="2"/>
    </row>
    <row r="776" spans="1:28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  <c r="AB776" s="2"/>
    </row>
    <row r="777" spans="1:28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  <c r="AB777" s="2"/>
    </row>
    <row r="778" spans="1:28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  <c r="AB778" s="2"/>
    </row>
    <row r="779" spans="1:28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  <c r="AB779" s="2"/>
    </row>
    <row r="780" spans="1:28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  <c r="AB780" s="2"/>
    </row>
    <row r="781" spans="1:28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  <c r="AB781" s="2"/>
    </row>
    <row r="782" spans="1:28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  <c r="AB782" s="2"/>
    </row>
    <row r="783" spans="1:28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  <c r="AB783" s="2"/>
    </row>
    <row r="784" spans="1:28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  <c r="AB784" s="2"/>
    </row>
    <row r="785" spans="1:28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  <c r="AB785" s="2"/>
    </row>
    <row r="786" spans="1:28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  <c r="AB786" s="2"/>
    </row>
    <row r="787" spans="1:28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  <c r="AB787" s="2"/>
    </row>
    <row r="788" spans="1:28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  <c r="AB788" s="2"/>
    </row>
    <row r="789" spans="1:28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  <c r="AB789" s="2"/>
    </row>
    <row r="790" spans="1:28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  <c r="AB790" s="2"/>
    </row>
    <row r="791" spans="1:28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  <c r="AB791" s="2"/>
    </row>
    <row r="792" spans="1:28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  <c r="AB792" s="2"/>
    </row>
    <row r="793" spans="1:28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  <c r="AB793" s="2"/>
    </row>
    <row r="794" spans="1:28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  <c r="AB794" s="2"/>
    </row>
    <row r="795" spans="1:28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  <c r="AB795" s="2"/>
    </row>
    <row r="796" spans="1:28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  <c r="AB796" s="2"/>
    </row>
    <row r="797" spans="1:28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  <c r="AB797" s="2"/>
    </row>
    <row r="798" spans="1:28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  <c r="AB798" s="2"/>
    </row>
    <row r="799" spans="1:28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  <c r="AB799" s="2"/>
    </row>
    <row r="800" spans="1:28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  <c r="AB800" s="2"/>
    </row>
    <row r="801" spans="1:28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  <c r="AB801" s="2"/>
    </row>
    <row r="802" spans="1:28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  <c r="AB802" s="2"/>
    </row>
    <row r="803" spans="1:28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  <c r="AB803" s="2"/>
    </row>
    <row r="804" spans="1:28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  <c r="AB804" s="2"/>
    </row>
    <row r="805" spans="1:28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  <c r="AB805" s="2"/>
    </row>
    <row r="806" spans="1:28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  <c r="AB806" s="2"/>
    </row>
    <row r="807" spans="1:28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  <c r="AB807" s="2"/>
    </row>
    <row r="808" spans="1:28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  <c r="AB808" s="2"/>
    </row>
    <row r="809" spans="1:28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  <c r="AB809" s="2"/>
    </row>
    <row r="810" spans="1:28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  <c r="AB810" s="2"/>
    </row>
    <row r="811" spans="1:28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  <c r="AB811" s="2"/>
    </row>
    <row r="812" spans="1:28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  <c r="AB812" s="2"/>
    </row>
    <row r="813" spans="1:28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  <c r="AB813" s="2"/>
    </row>
    <row r="814" spans="1:28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  <c r="AB814" s="2"/>
    </row>
    <row r="815" spans="1:28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  <c r="AB815" s="2"/>
    </row>
    <row r="816" spans="1:28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  <c r="AB816" s="2"/>
    </row>
    <row r="817" spans="1:28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  <c r="AB817" s="2"/>
    </row>
    <row r="818" spans="1:28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  <c r="AB818" s="2"/>
    </row>
    <row r="819" spans="1:28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  <c r="AB819" s="2"/>
    </row>
    <row r="820" spans="1:28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  <c r="AB820" s="2"/>
    </row>
    <row r="821" spans="1:28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  <c r="AB821" s="2"/>
    </row>
    <row r="822" spans="1:28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  <c r="AB822" s="2"/>
    </row>
    <row r="823" spans="1:28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  <c r="AB823" s="2"/>
    </row>
    <row r="824" spans="1:28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  <c r="AB824" s="2"/>
    </row>
    <row r="825" spans="1:28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  <c r="AB825" s="2"/>
    </row>
    <row r="826" spans="1:28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  <c r="AB826" s="2"/>
    </row>
    <row r="827" spans="1:28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  <c r="AB827" s="2"/>
    </row>
    <row r="828" spans="1:28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  <c r="AB828" s="2"/>
    </row>
    <row r="829" spans="1:28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  <c r="AB829" s="2"/>
    </row>
    <row r="830" spans="1:28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  <c r="AB830" s="2"/>
    </row>
    <row r="831" spans="1:28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  <c r="AB831" s="2"/>
    </row>
    <row r="832" spans="1:28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  <c r="AB832" s="2"/>
    </row>
    <row r="833" spans="1:28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  <c r="AB833" s="2"/>
    </row>
    <row r="834" spans="1:28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  <c r="AB834" s="2"/>
    </row>
    <row r="835" spans="1:28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  <c r="AB835" s="2"/>
    </row>
    <row r="836" spans="1:28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  <c r="AB836" s="2"/>
    </row>
    <row r="837" spans="1:28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  <c r="AB837" s="2"/>
    </row>
    <row r="838" spans="1:28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  <c r="AB838" s="2"/>
    </row>
    <row r="839" spans="1:28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  <c r="AB839" s="2"/>
    </row>
    <row r="840" spans="1:28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  <c r="AB840" s="2"/>
    </row>
    <row r="841" spans="1:28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  <c r="AB841" s="2"/>
    </row>
    <row r="842" spans="1:28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  <c r="AB842" s="2"/>
    </row>
    <row r="843" spans="1:28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  <c r="AB843" s="2"/>
    </row>
    <row r="844" spans="1:28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  <c r="AB844" s="2"/>
    </row>
    <row r="845" spans="1:28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  <c r="AB845" s="2"/>
    </row>
    <row r="846" spans="1:28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  <c r="AB846" s="2"/>
    </row>
    <row r="847" spans="1:28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  <c r="AB847" s="2"/>
    </row>
    <row r="848" spans="1:28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  <c r="AB848" s="2"/>
    </row>
    <row r="849" spans="1:28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  <c r="AB849" s="2"/>
    </row>
    <row r="850" spans="1:28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  <c r="AB850" s="2"/>
    </row>
    <row r="851" spans="1:28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  <c r="AB851" s="2"/>
    </row>
    <row r="852" spans="1:28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  <c r="AB852" s="2"/>
    </row>
    <row r="853" spans="1:28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  <c r="AB853" s="2"/>
    </row>
    <row r="854" spans="1:28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  <c r="AB854" s="2"/>
    </row>
    <row r="855" spans="1:28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  <c r="AB855" s="2"/>
    </row>
    <row r="856" spans="1:28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  <c r="AB856" s="2"/>
    </row>
    <row r="857" spans="1:28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  <c r="AB857" s="2"/>
    </row>
    <row r="858" spans="1:28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  <c r="AB858" s="2"/>
    </row>
    <row r="859" spans="1:28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  <c r="AB859" s="2"/>
    </row>
    <row r="860" spans="1:28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  <c r="AB860" s="2"/>
    </row>
    <row r="861" spans="1:28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  <c r="AB861" s="2"/>
    </row>
    <row r="862" spans="1:28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  <c r="AB862" s="2"/>
    </row>
    <row r="863" spans="1:28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  <c r="AB863" s="2"/>
    </row>
    <row r="864" spans="1:28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  <c r="AB864" s="2"/>
    </row>
    <row r="865" spans="1:28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  <c r="AB865" s="2"/>
    </row>
    <row r="866" spans="1:28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  <c r="AB866" s="2"/>
    </row>
    <row r="867" spans="1:28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  <c r="AB867" s="2"/>
    </row>
    <row r="868" spans="1:28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  <c r="AB868" s="2"/>
    </row>
    <row r="869" spans="1:28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  <c r="AB869" s="2"/>
    </row>
    <row r="870" spans="1:28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  <c r="AB870" s="2"/>
    </row>
    <row r="871" spans="1:28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  <c r="AB871" s="2"/>
    </row>
    <row r="872" spans="1:28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  <c r="AB872" s="2"/>
    </row>
    <row r="873" spans="1:28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  <c r="AB873" s="2"/>
    </row>
    <row r="874" spans="1:28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  <c r="AB874" s="2"/>
    </row>
    <row r="875" spans="1:28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  <c r="AB875" s="2"/>
    </row>
    <row r="876" spans="1:28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  <c r="AB876" s="2"/>
    </row>
    <row r="877" spans="1:28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  <c r="AB877" s="2"/>
    </row>
    <row r="878" spans="1:28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  <c r="AB878" s="2"/>
    </row>
    <row r="879" spans="1:28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  <c r="AB879" s="2"/>
    </row>
    <row r="880" spans="1:28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  <c r="AB880" s="2"/>
    </row>
    <row r="881" spans="1:28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  <c r="AB881" s="2"/>
    </row>
    <row r="882" spans="1:28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  <c r="AB882" s="2"/>
    </row>
    <row r="883" spans="1:28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  <c r="AB883" s="2"/>
    </row>
    <row r="884" spans="1:28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  <c r="AB884" s="2"/>
    </row>
    <row r="885" spans="1:28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  <c r="AB885" s="2"/>
    </row>
    <row r="886" spans="1:28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  <c r="AB886" s="2"/>
    </row>
    <row r="887" spans="1:28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  <c r="AB887" s="2"/>
    </row>
    <row r="888" spans="1:28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  <c r="AB888" s="2"/>
    </row>
    <row r="889" spans="1:28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  <c r="AB889" s="2"/>
    </row>
    <row r="890" spans="1:28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  <c r="AB890" s="2"/>
    </row>
    <row r="891" spans="1:28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  <c r="AB891" s="2"/>
    </row>
    <row r="892" spans="1:28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  <c r="AB892" s="2"/>
    </row>
    <row r="893" spans="1:28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  <c r="AB893" s="2"/>
    </row>
    <row r="894" spans="1:28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  <c r="AB894" s="2"/>
    </row>
    <row r="895" spans="1:28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  <c r="AB895" s="2"/>
    </row>
    <row r="896" spans="1:28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  <c r="AB896" s="2"/>
    </row>
    <row r="897" spans="1:28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  <c r="AB897" s="2"/>
    </row>
    <row r="898" spans="1:28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  <c r="AB898" s="2"/>
    </row>
    <row r="899" spans="1:28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  <c r="AB899" s="2"/>
    </row>
    <row r="900" spans="1:28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  <c r="AB900" s="2"/>
    </row>
    <row r="901" spans="1:28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  <c r="AB901" s="2"/>
    </row>
    <row r="902" spans="1:28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  <c r="AB902" s="2"/>
    </row>
    <row r="903" spans="1:28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  <c r="AB903" s="2"/>
    </row>
    <row r="904" spans="1:28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  <c r="AB904" s="2"/>
    </row>
    <row r="905" spans="1:28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  <c r="AB905" s="2"/>
    </row>
    <row r="906" spans="1:28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  <c r="AB906" s="2"/>
    </row>
    <row r="907" spans="1:28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  <c r="AB907" s="2"/>
    </row>
    <row r="908" spans="1:28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  <c r="AB908" s="2"/>
    </row>
    <row r="909" spans="1:28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  <c r="AB909" s="2"/>
    </row>
    <row r="910" spans="1:28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  <c r="AB910" s="2"/>
    </row>
    <row r="911" spans="1:28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  <c r="AB911" s="2"/>
    </row>
    <row r="912" spans="1:28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  <c r="AB912" s="2"/>
    </row>
    <row r="913" spans="1:28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  <c r="AB913" s="2"/>
    </row>
    <row r="914" spans="1:28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  <c r="AB914" s="2"/>
    </row>
    <row r="915" spans="1:28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  <c r="AB915" s="2"/>
    </row>
    <row r="916" spans="1:28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  <c r="AB916" s="2"/>
    </row>
    <row r="917" spans="1:28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  <c r="AB917" s="2"/>
    </row>
    <row r="918" spans="1:28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  <c r="AB918" s="2"/>
    </row>
    <row r="919" spans="1:28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  <c r="AB919" s="2"/>
    </row>
    <row r="920" spans="1:28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  <c r="AB920" s="2"/>
    </row>
    <row r="921" spans="1:28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  <c r="AB921" s="2"/>
    </row>
    <row r="922" spans="1:28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  <c r="AB922" s="2"/>
    </row>
    <row r="923" spans="1:28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  <c r="AB923" s="2"/>
    </row>
    <row r="924" spans="1:28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  <c r="AB924" s="2"/>
    </row>
    <row r="925" spans="1:28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  <c r="AB925" s="2"/>
    </row>
    <row r="926" spans="1:28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  <c r="AB926" s="2"/>
    </row>
    <row r="927" spans="1:28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  <c r="AB927" s="2"/>
    </row>
    <row r="928" spans="1:28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  <c r="AB928" s="2"/>
    </row>
    <row r="929" spans="1:28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  <c r="AB929" s="2"/>
    </row>
    <row r="930" spans="1:28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  <c r="AB930" s="2"/>
    </row>
    <row r="931" spans="1:28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  <c r="AB931" s="2"/>
    </row>
    <row r="932" spans="1:28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  <c r="AB932" s="2"/>
    </row>
    <row r="933" spans="1:28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  <c r="AB933" s="2"/>
    </row>
    <row r="934" spans="1:28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  <c r="AB934" s="2"/>
    </row>
    <row r="935" spans="1:28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  <c r="AB935" s="2"/>
    </row>
    <row r="936" spans="1:28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  <c r="AB936" s="2"/>
    </row>
    <row r="937" spans="1:28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  <c r="AB937" s="2"/>
    </row>
    <row r="938" spans="1:28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  <c r="AB938" s="2"/>
    </row>
    <row r="939" spans="1:28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  <c r="AB939" s="2"/>
    </row>
    <row r="940" spans="1:28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  <c r="AB940" s="2"/>
    </row>
    <row r="941" spans="1:28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  <c r="AB941" s="2"/>
    </row>
    <row r="942" spans="1:28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  <c r="AB942" s="2"/>
    </row>
    <row r="943" spans="1:28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  <c r="AB943" s="2"/>
    </row>
    <row r="944" spans="1:28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  <c r="AB944" s="2"/>
    </row>
    <row r="945" spans="1:28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  <c r="AB945" s="2"/>
    </row>
    <row r="946" spans="1:28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  <c r="AB946" s="2"/>
    </row>
    <row r="947" spans="1:28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  <c r="AB947" s="2"/>
    </row>
    <row r="948" spans="1:28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  <c r="AB948" s="2"/>
    </row>
    <row r="949" spans="1:28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  <c r="AB949" s="2"/>
    </row>
    <row r="950" spans="1:28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  <c r="AB950" s="2"/>
    </row>
    <row r="951" spans="1:28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  <c r="AB951" s="2"/>
    </row>
    <row r="952" spans="1:28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  <c r="AB952" s="2"/>
    </row>
    <row r="953" spans="1:28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  <c r="AB953" s="2"/>
    </row>
    <row r="954" spans="1:28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  <c r="AB954" s="2"/>
    </row>
    <row r="955" spans="1:28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  <c r="AB955" s="2"/>
    </row>
    <row r="956" spans="1:28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  <c r="AB956" s="2"/>
    </row>
    <row r="957" spans="1:28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  <c r="AB957" s="2"/>
    </row>
    <row r="958" spans="1:28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  <c r="AB958" s="2"/>
    </row>
    <row r="959" spans="1:28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  <c r="AB959" s="2"/>
    </row>
    <row r="960" spans="1:28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  <c r="AB960" s="2"/>
    </row>
    <row r="961" spans="1:28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  <c r="AB961" s="2"/>
    </row>
    <row r="962" spans="1:28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  <c r="AB962" s="2"/>
    </row>
    <row r="963" spans="1:28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  <c r="AB963" s="2"/>
    </row>
    <row r="964" spans="1:28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  <c r="AB964" s="2"/>
    </row>
    <row r="965" spans="1:28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  <c r="AB965" s="2"/>
    </row>
    <row r="966" spans="1:28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  <c r="AB966" s="2"/>
    </row>
    <row r="967" spans="1:28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  <c r="AB967" s="2"/>
    </row>
    <row r="968" spans="1:28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  <c r="AB968" s="2"/>
    </row>
    <row r="969" spans="1:28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  <c r="AB969" s="2"/>
    </row>
    <row r="970" spans="1:28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  <c r="AB970" s="2"/>
    </row>
    <row r="971" spans="1:28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  <c r="AB971" s="2"/>
    </row>
    <row r="972" spans="1:28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  <c r="AB972" s="2"/>
    </row>
    <row r="973" spans="1:28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  <c r="AB973" s="2"/>
    </row>
    <row r="974" spans="1:28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  <c r="AB974" s="2"/>
    </row>
    <row r="975" spans="1:28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  <c r="AB975" s="2"/>
    </row>
    <row r="976" spans="1:28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  <c r="AB976" s="2"/>
    </row>
    <row r="977" spans="1:28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  <c r="AB977" s="2"/>
    </row>
    <row r="978" spans="1:28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  <c r="AB978" s="2"/>
    </row>
    <row r="979" spans="1:28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  <c r="AB979" s="2"/>
    </row>
    <row r="980" spans="1:28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  <c r="AB980" s="2"/>
    </row>
    <row r="981" spans="1:28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  <c r="AB981" s="2"/>
    </row>
    <row r="982" spans="1:28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  <c r="AB982" s="2"/>
    </row>
    <row r="983" spans="1:28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  <c r="AB983" s="2"/>
    </row>
    <row r="984" spans="1:28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  <c r="AB984" s="2"/>
    </row>
    <row r="985" spans="1:28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  <c r="AB985" s="2"/>
    </row>
    <row r="986" spans="1:28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  <c r="AB986" s="2"/>
    </row>
    <row r="987" spans="1:28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  <c r="AB987" s="2"/>
    </row>
    <row r="988" spans="1:28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  <c r="AB988" s="2"/>
    </row>
    <row r="989" spans="1:28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  <c r="AB989" s="2"/>
    </row>
    <row r="990" spans="1:28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  <c r="AB990" s="2"/>
    </row>
    <row r="991" spans="1:28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  <c r="AB991" s="2"/>
    </row>
    <row r="992" spans="1:28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  <c r="AB992" s="2"/>
    </row>
    <row r="993" spans="1:28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  <c r="AB993" s="2"/>
    </row>
    <row r="994" spans="1:28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  <c r="AB994" s="2"/>
    </row>
    <row r="995" spans="1:28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  <c r="AB995" s="2"/>
    </row>
    <row r="996" spans="1:28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  <c r="AB996" s="2"/>
    </row>
    <row r="997" spans="1:28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  <c r="AB997" s="2"/>
    </row>
    <row r="998" spans="1:28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  <c r="AA998" s="2"/>
      <c r="AB998" s="2"/>
    </row>
    <row r="999" spans="1:28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  <c r="AA999" s="2"/>
      <c r="AB999" s="2"/>
    </row>
    <row r="1000" spans="1:28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  <c r="AA1000" s="2"/>
      <c r="AB1000" s="2"/>
    </row>
    <row r="1001" spans="1:28" x14ac:dyDescent="0.2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  <c r="AA1001" s="2"/>
      <c r="AB1001" s="2"/>
    </row>
    <row r="1002" spans="1:28" x14ac:dyDescent="0.2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  <c r="AA1002" s="2"/>
      <c r="AB1002" s="2"/>
    </row>
    <row r="1003" spans="1:28" x14ac:dyDescent="0.25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  <c r="R1003" s="2"/>
      <c r="S1003" s="2"/>
      <c r="T1003" s="2"/>
      <c r="U1003" s="2"/>
      <c r="V1003" s="2"/>
      <c r="W1003" s="2"/>
      <c r="X1003" s="2"/>
      <c r="Y1003" s="2"/>
      <c r="Z1003" s="2"/>
      <c r="AA1003" s="2"/>
      <c r="AB1003" s="2"/>
    </row>
    <row r="1004" spans="1:28" x14ac:dyDescent="0.25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  <c r="R1004" s="2"/>
      <c r="S1004" s="2"/>
      <c r="T1004" s="2"/>
      <c r="U1004" s="2"/>
      <c r="V1004" s="2"/>
      <c r="W1004" s="2"/>
      <c r="X1004" s="2"/>
      <c r="Y1004" s="2"/>
      <c r="Z1004" s="2"/>
      <c r="AA1004" s="2"/>
      <c r="AB1004" s="2"/>
    </row>
    <row r="1005" spans="1:28" x14ac:dyDescent="0.25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  <c r="R1005" s="2"/>
      <c r="S1005" s="2"/>
      <c r="T1005" s="2"/>
      <c r="U1005" s="2"/>
      <c r="V1005" s="2"/>
      <c r="W1005" s="2"/>
      <c r="X1005" s="2"/>
      <c r="Y1005" s="2"/>
      <c r="Z1005" s="2"/>
      <c r="AA1005" s="2"/>
      <c r="AB1005" s="2"/>
    </row>
    <row r="1006" spans="1:28" x14ac:dyDescent="0.25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  <c r="R1006" s="2"/>
      <c r="S1006" s="2"/>
      <c r="T1006" s="2"/>
      <c r="U1006" s="2"/>
      <c r="V1006" s="2"/>
      <c r="W1006" s="2"/>
      <c r="X1006" s="2"/>
      <c r="Y1006" s="2"/>
      <c r="Z1006" s="2"/>
      <c r="AA1006" s="2"/>
      <c r="AB1006" s="2"/>
    </row>
    <row r="1007" spans="1:28" x14ac:dyDescent="0.25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  <c r="R1007" s="2"/>
      <c r="S1007" s="2"/>
      <c r="T1007" s="2"/>
      <c r="U1007" s="2"/>
      <c r="V1007" s="2"/>
      <c r="W1007" s="2"/>
      <c r="X1007" s="2"/>
      <c r="Y1007" s="2"/>
      <c r="Z1007" s="2"/>
      <c r="AA1007" s="2"/>
      <c r="AB1007" s="2"/>
    </row>
  </sheetData>
  <mergeCells count="18">
    <mergeCell ref="A57:G57"/>
    <mergeCell ref="I57:O57"/>
    <mergeCell ref="Q57:W57"/>
    <mergeCell ref="A6:G6"/>
    <mergeCell ref="I6:O6"/>
    <mergeCell ref="A32:D32"/>
    <mergeCell ref="I32:L32"/>
    <mergeCell ref="A34:G34"/>
    <mergeCell ref="I34:O34"/>
    <mergeCell ref="Q34:W34"/>
    <mergeCell ref="A55:D56"/>
    <mergeCell ref="I55:L56"/>
    <mergeCell ref="Q55:T56"/>
    <mergeCell ref="I2:L3"/>
    <mergeCell ref="Q6:W6"/>
    <mergeCell ref="Q2:T3"/>
    <mergeCell ref="A2:D3"/>
    <mergeCell ref="Q32:T32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1"/>
  <sheetViews>
    <sheetView workbookViewId="0">
      <selection activeCell="E5" sqref="E5:E16"/>
    </sheetView>
  </sheetViews>
  <sheetFormatPr defaultRowHeight="13.2" x14ac:dyDescent="0.25"/>
  <cols>
    <col min="1" max="1" width="24.109375" customWidth="1"/>
    <col min="2" max="2" width="14.6640625" customWidth="1"/>
    <col min="4" max="4" width="25.88671875" customWidth="1"/>
    <col min="5" max="5" width="15.88671875" customWidth="1"/>
    <col min="7" max="7" width="23.109375" customWidth="1"/>
    <col min="8" max="8" width="21.77734375" customWidth="1"/>
  </cols>
  <sheetData>
    <row r="1" spans="1:12" ht="15.6" x14ac:dyDescent="0.25">
      <c r="A1" s="64"/>
      <c r="B1" s="66"/>
    </row>
    <row r="2" spans="1:12" ht="16.8" x14ac:dyDescent="0.25">
      <c r="A2" s="114" t="s">
        <v>59</v>
      </c>
      <c r="B2" s="115"/>
      <c r="C2" s="73"/>
      <c r="D2" s="114" t="s">
        <v>58</v>
      </c>
      <c r="E2" s="115"/>
      <c r="F2" s="73"/>
      <c r="G2" s="114" t="s">
        <v>60</v>
      </c>
      <c r="H2" s="115"/>
    </row>
    <row r="3" spans="1:12" ht="13.8" x14ac:dyDescent="0.25">
      <c r="A3" s="65"/>
      <c r="B3" s="67"/>
    </row>
    <row r="4" spans="1:12" ht="15.6" x14ac:dyDescent="0.25">
      <c r="A4" s="68" t="s">
        <v>3</v>
      </c>
      <c r="B4" s="69" t="s">
        <v>5</v>
      </c>
      <c r="D4" s="6" t="s">
        <v>3</v>
      </c>
      <c r="E4" s="6" t="s">
        <v>5</v>
      </c>
      <c r="G4" s="74" t="s">
        <v>3</v>
      </c>
      <c r="H4" s="74" t="s">
        <v>5</v>
      </c>
    </row>
    <row r="5" spans="1:12" ht="13.8" x14ac:dyDescent="0.25">
      <c r="A5" s="70" t="s">
        <v>9</v>
      </c>
      <c r="B5" s="12">
        <v>75</v>
      </c>
      <c r="D5" s="9" t="s">
        <v>10</v>
      </c>
      <c r="E5" s="12">
        <v>120</v>
      </c>
      <c r="G5" s="75" t="s">
        <v>26</v>
      </c>
      <c r="H5" s="77">
        <v>120</v>
      </c>
    </row>
    <row r="6" spans="1:12" ht="13.8" x14ac:dyDescent="0.25">
      <c r="A6" s="70" t="s">
        <v>11</v>
      </c>
      <c r="B6" s="12">
        <v>90</v>
      </c>
      <c r="D6" s="9" t="s">
        <v>12</v>
      </c>
      <c r="E6" s="12">
        <v>80</v>
      </c>
      <c r="G6" s="75" t="s">
        <v>29</v>
      </c>
      <c r="H6" s="77">
        <v>110</v>
      </c>
    </row>
    <row r="7" spans="1:12" ht="13.8" x14ac:dyDescent="0.25">
      <c r="A7" s="70" t="s">
        <v>13</v>
      </c>
      <c r="B7" s="12">
        <v>130</v>
      </c>
      <c r="D7" s="9" t="s">
        <v>14</v>
      </c>
      <c r="E7" s="12">
        <v>50</v>
      </c>
      <c r="G7" s="76" t="s">
        <v>32</v>
      </c>
      <c r="H7" s="77">
        <v>200</v>
      </c>
    </row>
    <row r="8" spans="1:12" ht="13.8" x14ac:dyDescent="0.25">
      <c r="A8" s="70" t="s">
        <v>15</v>
      </c>
      <c r="B8" s="12">
        <v>180</v>
      </c>
      <c r="D8" s="9" t="s">
        <v>16</v>
      </c>
      <c r="E8" s="12">
        <v>50</v>
      </c>
      <c r="G8" s="75" t="s">
        <v>35</v>
      </c>
      <c r="H8" s="77">
        <v>180</v>
      </c>
    </row>
    <row r="9" spans="1:12" ht="13.8" x14ac:dyDescent="0.25">
      <c r="A9" s="70" t="s">
        <v>17</v>
      </c>
      <c r="B9" s="12">
        <v>160</v>
      </c>
      <c r="D9" s="9" t="s">
        <v>49</v>
      </c>
      <c r="E9" s="12">
        <v>120</v>
      </c>
    </row>
    <row r="10" spans="1:12" ht="13.8" x14ac:dyDescent="0.25">
      <c r="A10" s="71" t="s">
        <v>18</v>
      </c>
      <c r="B10" s="12">
        <v>45</v>
      </c>
      <c r="D10" s="9" t="s">
        <v>52</v>
      </c>
      <c r="E10" s="12">
        <v>140</v>
      </c>
    </row>
    <row r="11" spans="1:12" ht="13.8" x14ac:dyDescent="0.25">
      <c r="A11" s="71" t="s">
        <v>19</v>
      </c>
      <c r="B11" s="12">
        <v>70</v>
      </c>
      <c r="D11" s="9" t="s">
        <v>48</v>
      </c>
      <c r="E11" s="12">
        <v>600</v>
      </c>
    </row>
    <row r="12" spans="1:12" ht="13.8" x14ac:dyDescent="0.25">
      <c r="A12" s="71" t="s">
        <v>20</v>
      </c>
      <c r="B12" s="12">
        <v>100</v>
      </c>
      <c r="D12" s="9" t="s">
        <v>51</v>
      </c>
      <c r="E12" s="12">
        <v>650</v>
      </c>
    </row>
    <row r="13" spans="1:12" ht="13.8" x14ac:dyDescent="0.25">
      <c r="A13" s="71" t="s">
        <v>21</v>
      </c>
      <c r="B13" s="12">
        <v>200</v>
      </c>
      <c r="D13" s="9" t="s">
        <v>47</v>
      </c>
      <c r="E13" s="12">
        <v>130</v>
      </c>
    </row>
    <row r="14" spans="1:12" ht="13.8" x14ac:dyDescent="0.25">
      <c r="A14" s="71" t="s">
        <v>22</v>
      </c>
      <c r="B14" s="12">
        <v>80</v>
      </c>
      <c r="D14" s="9" t="s">
        <v>50</v>
      </c>
      <c r="E14" s="12">
        <v>130</v>
      </c>
    </row>
    <row r="15" spans="1:12" ht="30" x14ac:dyDescent="0.5">
      <c r="A15" s="71" t="s">
        <v>24</v>
      </c>
      <c r="B15" s="12">
        <v>70</v>
      </c>
      <c r="D15" s="9" t="s">
        <v>45</v>
      </c>
      <c r="E15" s="12">
        <v>90</v>
      </c>
      <c r="G15" s="116" t="s">
        <v>61</v>
      </c>
      <c r="H15" s="117"/>
      <c r="I15" s="117"/>
      <c r="J15" s="117"/>
      <c r="K15" s="117"/>
      <c r="L15" s="118"/>
    </row>
    <row r="16" spans="1:12" ht="13.8" x14ac:dyDescent="0.25">
      <c r="A16" s="71" t="s">
        <v>25</v>
      </c>
      <c r="B16" s="12">
        <v>80</v>
      </c>
      <c r="D16" s="9" t="s">
        <v>46</v>
      </c>
      <c r="E16" s="12">
        <v>100</v>
      </c>
    </row>
    <row r="17" spans="1:2" ht="13.8" x14ac:dyDescent="0.25">
      <c r="A17" s="71" t="s">
        <v>28</v>
      </c>
      <c r="B17" s="12">
        <v>100</v>
      </c>
    </row>
    <row r="18" spans="1:2" ht="13.8" x14ac:dyDescent="0.25">
      <c r="A18" s="71" t="s">
        <v>31</v>
      </c>
      <c r="B18" s="12">
        <v>400</v>
      </c>
    </row>
    <row r="19" spans="1:2" ht="13.8" x14ac:dyDescent="0.25">
      <c r="A19" s="71" t="s">
        <v>34</v>
      </c>
      <c r="B19" s="12">
        <v>100</v>
      </c>
    </row>
    <row r="20" spans="1:2" ht="13.8" x14ac:dyDescent="0.25">
      <c r="A20" s="72" t="s">
        <v>37</v>
      </c>
      <c r="B20" s="12">
        <v>500</v>
      </c>
    </row>
    <row r="21" spans="1:2" ht="13.8" x14ac:dyDescent="0.25">
      <c r="A21" s="72" t="s">
        <v>38</v>
      </c>
      <c r="B21" s="12">
        <v>350</v>
      </c>
    </row>
  </sheetData>
  <mergeCells count="4">
    <mergeCell ref="A2:B2"/>
    <mergeCell ref="D2:E2"/>
    <mergeCell ref="G2:H2"/>
    <mergeCell ref="G15:L15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L68"/>
  <sheetViews>
    <sheetView tabSelected="1" topLeftCell="J4" zoomScale="115" zoomScaleNormal="115" workbookViewId="0">
      <selection activeCell="F40" sqref="F40"/>
    </sheetView>
  </sheetViews>
  <sheetFormatPr defaultRowHeight="13.2" x14ac:dyDescent="0.25"/>
  <cols>
    <col min="3" max="3" width="23.109375" bestFit="1" customWidth="1"/>
    <col min="4" max="4" width="16.5546875" bestFit="1" customWidth="1"/>
    <col min="5" max="5" width="15.5546875" bestFit="1" customWidth="1"/>
    <col min="6" max="6" width="12.77734375" bestFit="1" customWidth="1"/>
    <col min="7" max="7" width="21.44140625" bestFit="1" customWidth="1"/>
    <col min="9" max="9" width="23.109375" bestFit="1" customWidth="1"/>
    <col min="10" max="10" width="12.21875" bestFit="1" customWidth="1"/>
    <col min="11" max="11" width="15.5546875" bestFit="1" customWidth="1"/>
    <col min="12" max="12" width="12.77734375" bestFit="1" customWidth="1"/>
    <col min="13" max="13" width="12.44140625" customWidth="1"/>
    <col min="15" max="15" width="24.109375" bestFit="1" customWidth="1"/>
    <col min="16" max="16" width="7.21875" bestFit="1" customWidth="1"/>
    <col min="17" max="17" width="7.109375" bestFit="1" customWidth="1"/>
    <col min="18" max="18" width="12.77734375" bestFit="1" customWidth="1"/>
    <col min="19" max="19" width="9.21875" bestFit="1" customWidth="1"/>
    <col min="21" max="21" width="24.109375" bestFit="1" customWidth="1"/>
    <col min="22" max="22" width="7.21875" bestFit="1" customWidth="1"/>
    <col min="23" max="23" width="7.109375" bestFit="1" customWidth="1"/>
    <col min="24" max="24" width="12.77734375" bestFit="1" customWidth="1"/>
    <col min="25" max="25" width="9" bestFit="1" customWidth="1"/>
    <col min="28" max="28" width="14.33203125" bestFit="1" customWidth="1"/>
    <col min="29" max="29" width="16.5546875" bestFit="1" customWidth="1"/>
    <col min="30" max="30" width="15.5546875" bestFit="1" customWidth="1"/>
    <col min="31" max="31" width="12.77734375" bestFit="1" customWidth="1"/>
    <col min="32" max="32" width="21.6640625" bestFit="1" customWidth="1"/>
    <col min="34" max="34" width="14.33203125" bestFit="1" customWidth="1"/>
    <col min="35" max="35" width="16.5546875" bestFit="1" customWidth="1"/>
    <col min="36" max="36" width="15.5546875" bestFit="1" customWidth="1"/>
    <col min="37" max="37" width="12.77734375" bestFit="1" customWidth="1"/>
    <col min="38" max="38" width="21.6640625" bestFit="1" customWidth="1"/>
  </cols>
  <sheetData>
    <row r="1" spans="3:38" ht="13.8" thickBot="1" x14ac:dyDescent="0.3"/>
    <row r="2" spans="3:38" x14ac:dyDescent="0.25">
      <c r="F2" s="37" t="s">
        <v>56</v>
      </c>
      <c r="L2" s="37" t="s">
        <v>56</v>
      </c>
      <c r="R2" s="37" t="s">
        <v>56</v>
      </c>
      <c r="X2" s="37" t="s">
        <v>56</v>
      </c>
      <c r="AE2" s="37" t="s">
        <v>56</v>
      </c>
      <c r="AK2" s="37" t="s">
        <v>56</v>
      </c>
    </row>
    <row r="3" spans="3:38" ht="13.8" thickBot="1" x14ac:dyDescent="0.3">
      <c r="F3" s="36">
        <v>0.5</v>
      </c>
      <c r="L3" s="36">
        <v>0.6</v>
      </c>
      <c r="R3" s="36">
        <v>0.5</v>
      </c>
      <c r="X3" s="36">
        <v>0.6</v>
      </c>
      <c r="AE3" s="36">
        <v>0.5</v>
      </c>
      <c r="AK3" s="36">
        <v>0.6</v>
      </c>
    </row>
    <row r="4" spans="3:38" ht="13.8" thickBot="1" x14ac:dyDescent="0.3"/>
    <row r="5" spans="3:38" s="43" customFormat="1" ht="40.200000000000003" thickBot="1" x14ac:dyDescent="0.3">
      <c r="C5" s="45" t="s">
        <v>3</v>
      </c>
      <c r="D5" s="39" t="s">
        <v>53</v>
      </c>
      <c r="E5" s="40" t="s">
        <v>55</v>
      </c>
      <c r="F5" s="41"/>
      <c r="G5" s="42" t="s">
        <v>57</v>
      </c>
      <c r="I5" s="45" t="s">
        <v>3</v>
      </c>
      <c r="J5" s="39" t="s">
        <v>54</v>
      </c>
      <c r="K5" s="40" t="s">
        <v>55</v>
      </c>
      <c r="L5" s="41"/>
      <c r="M5" s="42" t="s">
        <v>57</v>
      </c>
      <c r="N5" s="44"/>
      <c r="O5" s="45" t="s">
        <v>3</v>
      </c>
      <c r="P5" s="39" t="s">
        <v>53</v>
      </c>
      <c r="Q5" s="40" t="s">
        <v>55</v>
      </c>
      <c r="R5" s="41"/>
      <c r="S5" s="42" t="s">
        <v>57</v>
      </c>
      <c r="U5" s="45" t="s">
        <v>3</v>
      </c>
      <c r="V5" s="39" t="s">
        <v>54</v>
      </c>
      <c r="W5" s="40" t="s">
        <v>55</v>
      </c>
      <c r="X5" s="41"/>
      <c r="Y5" s="42" t="s">
        <v>57</v>
      </c>
      <c r="AB5" s="45" t="s">
        <v>3</v>
      </c>
      <c r="AC5" s="39" t="s">
        <v>53</v>
      </c>
      <c r="AD5" s="40" t="s">
        <v>55</v>
      </c>
      <c r="AE5" s="41"/>
      <c r="AF5" s="42" t="s">
        <v>57</v>
      </c>
      <c r="AH5" s="38" t="s">
        <v>3</v>
      </c>
      <c r="AI5" s="39" t="s">
        <v>54</v>
      </c>
      <c r="AJ5" s="40" t="s">
        <v>55</v>
      </c>
      <c r="AK5" s="41"/>
      <c r="AL5" s="42" t="s">
        <v>57</v>
      </c>
    </row>
    <row r="6" spans="3:38" ht="27.6" x14ac:dyDescent="0.25">
      <c r="C6" s="58" t="str">
        <f>pricing_chart!A8</f>
        <v>Short Kurti</v>
      </c>
      <c r="D6" s="78">
        <f>pricing_chart!D8/pricing_chart!E8</f>
        <v>0.55621301775147924</v>
      </c>
      <c r="E6" s="24">
        <f>pricing_chart!E8</f>
        <v>169</v>
      </c>
      <c r="F6" s="21">
        <f>pricing_chart!C8/(1-analysis!$F$3)</f>
        <v>150</v>
      </c>
      <c r="G6" s="32">
        <f>IF(F6&lt;E6,0,F6-E6)</f>
        <v>0</v>
      </c>
      <c r="I6" s="55" t="str">
        <f>pricing_chart!A8</f>
        <v>Short Kurti</v>
      </c>
      <c r="J6" s="78">
        <f>pricing_chart!F8/pricing_chart!G8</f>
        <v>0.6987951807228916</v>
      </c>
      <c r="K6" s="24">
        <f>pricing_chart!G8</f>
        <v>249</v>
      </c>
      <c r="L6" s="21">
        <f>pricing_chart!C8/(1-analysis!$L$3)</f>
        <v>187.5</v>
      </c>
      <c r="M6" s="32">
        <f t="shared" ref="M6:M22" si="0">IF(L6&lt;K6,0,L6-K6)</f>
        <v>0</v>
      </c>
      <c r="N6" s="18"/>
      <c r="O6" s="46" t="str">
        <f>pricing_chart!I8</f>
        <v>Shirt</v>
      </c>
      <c r="P6" s="22">
        <f>pricing_chart!L8/pricing_chart!M8</f>
        <v>0.52</v>
      </c>
      <c r="Q6" s="30">
        <f>pricing_chart!M8</f>
        <v>250</v>
      </c>
      <c r="R6" s="31">
        <f>pricing_chart!K8/(1-analysis!$R$3)</f>
        <v>240</v>
      </c>
      <c r="S6" s="35">
        <f t="shared" ref="S6:S17" si="1">IF(R6&lt;Q6,0,R6-Q6)</f>
        <v>0</v>
      </c>
      <c r="U6" s="46" t="str">
        <f>pricing_chart!I8</f>
        <v>Shirt</v>
      </c>
      <c r="V6" s="22">
        <f>pricing_chart!N8/pricing_chart!O8</f>
        <v>0.6</v>
      </c>
      <c r="W6" s="30">
        <f>pricing_chart!O8</f>
        <v>300</v>
      </c>
      <c r="X6" s="31">
        <f>pricing_chart!K8/(1-analysis!$X$3)</f>
        <v>300</v>
      </c>
      <c r="Y6" s="35">
        <f t="shared" ref="Y6:Y17" si="2">IF(X6&lt;W6,0,X6-W6)</f>
        <v>0</v>
      </c>
      <c r="AB6" s="49" t="str">
        <f>pricing_chart!Q8</f>
        <v>School Uniform(girls)</v>
      </c>
      <c r="AC6" s="29">
        <f>pricing_chart!T8/pricing_chart!U8</f>
        <v>0.63525835866261393</v>
      </c>
      <c r="AD6" s="24">
        <f>pricing_chart!U8</f>
        <v>329</v>
      </c>
      <c r="AE6" s="21">
        <f>pricing_chart!S8/(1-analysis!$AE$3)</f>
        <v>240</v>
      </c>
      <c r="AF6" s="32">
        <f>IF(AE6&lt;AD6,0,AE6-AD6)</f>
        <v>0</v>
      </c>
      <c r="AH6" s="53" t="str">
        <f>pricing_chart!Q8</f>
        <v>School Uniform(girls)</v>
      </c>
      <c r="AI6" s="29">
        <f>pricing_chart!V8/pricing_chart!W8</f>
        <v>0.34068136272545091</v>
      </c>
      <c r="AJ6" s="24">
        <f>pricing_chart!W8</f>
        <v>499</v>
      </c>
      <c r="AK6" s="21">
        <f>(pricing_chart!S8/(1-analysis!$AK$3))</f>
        <v>300</v>
      </c>
      <c r="AL6" s="32">
        <f>IF(AK6&lt;AJ6,0,AK6-AJ6)</f>
        <v>0</v>
      </c>
    </row>
    <row r="7" spans="3:38" ht="27.6" x14ac:dyDescent="0.25">
      <c r="C7" s="59" t="str">
        <f>pricing_chart!A9</f>
        <v>Kurti</v>
      </c>
      <c r="D7" s="79">
        <f>pricing_chart!D9/pricing_chart!E9</f>
        <v>0.58904109589041098</v>
      </c>
      <c r="E7" s="25">
        <f>pricing_chart!E9</f>
        <v>219</v>
      </c>
      <c r="F7" s="20">
        <f>pricing_chart!C9/(1-analysis!$F$3)</f>
        <v>180</v>
      </c>
      <c r="G7" s="33">
        <f t="shared" ref="G7:G22" si="3">IF(F7&lt;E7,0,F7-E7)</f>
        <v>0</v>
      </c>
      <c r="I7" s="56" t="str">
        <f>pricing_chart!A9</f>
        <v>Kurti</v>
      </c>
      <c r="J7" s="79">
        <f>pricing_chart!F9/pricing_chart!G9</f>
        <v>0.73451327433628322</v>
      </c>
      <c r="K7" s="25">
        <f>pricing_chart!G9</f>
        <v>339</v>
      </c>
      <c r="L7" s="20">
        <f>pricing_chart!C9/(1-analysis!$L$3)</f>
        <v>225</v>
      </c>
      <c r="M7" s="33">
        <f t="shared" si="0"/>
        <v>0</v>
      </c>
      <c r="O7" s="47" t="str">
        <f>pricing_chart!I9</f>
        <v>T-Shirt</v>
      </c>
      <c r="P7" s="23">
        <f>pricing_chart!L9/pricing_chart!M9</f>
        <v>0.55555555555555558</v>
      </c>
      <c r="Q7" s="25">
        <f>pricing_chart!M9</f>
        <v>180</v>
      </c>
      <c r="R7" s="20">
        <f>pricing_chart!K9/(1-analysis!$R$3)</f>
        <v>160</v>
      </c>
      <c r="S7" s="33">
        <f t="shared" si="1"/>
        <v>0</v>
      </c>
      <c r="U7" s="47" t="str">
        <f>pricing_chart!I9</f>
        <v>T-Shirt</v>
      </c>
      <c r="V7" s="23">
        <f>pricing_chart!N9/pricing_chart!O9</f>
        <v>0.63636363636363635</v>
      </c>
      <c r="W7" s="25">
        <f>pricing_chart!O9</f>
        <v>220</v>
      </c>
      <c r="X7" s="20">
        <f>pricing_chart!K9/(1-analysis!$X$3)</f>
        <v>200</v>
      </c>
      <c r="Y7" s="33">
        <f t="shared" si="2"/>
        <v>0</v>
      </c>
      <c r="AB7" s="50" t="str">
        <f>pricing_chart!Q9</f>
        <v>School Uniform(Boys)</v>
      </c>
      <c r="AC7" s="23">
        <f>pricing_chart!T9/pricing_chart!U9</f>
        <v>0.63210702341137126</v>
      </c>
      <c r="AD7" s="25">
        <f>pricing_chart!U9</f>
        <v>299</v>
      </c>
      <c r="AE7" s="20">
        <f>pricing_chart!S9/(1-analysis!$AE$3)</f>
        <v>220</v>
      </c>
      <c r="AF7" s="33">
        <f>IF(AE7&lt;AD7,0,AE7-AD7)</f>
        <v>0</v>
      </c>
      <c r="AH7" s="19" t="str">
        <f>pricing_chart!Q9</f>
        <v>School Uniform(Boys)</v>
      </c>
      <c r="AI7" s="23">
        <f>pricing_chart!V9/pricing_chart!W9</f>
        <v>0.33407572383073497</v>
      </c>
      <c r="AJ7" s="25">
        <f>pricing_chart!W9</f>
        <v>449</v>
      </c>
      <c r="AK7" s="20">
        <f>(pricing_chart!S9/(1-analysis!$AK$3))</f>
        <v>275</v>
      </c>
      <c r="AL7" s="33">
        <f>IF(AK7&lt;AJ7,0,AK7-AJ7)</f>
        <v>0</v>
      </c>
    </row>
    <row r="8" spans="3:38" ht="13.8" x14ac:dyDescent="0.25">
      <c r="C8" s="59" t="str">
        <f>pricing_chart!A10</f>
        <v>Kurti sets</v>
      </c>
      <c r="D8" s="79">
        <f>pricing_chart!D10/pricing_chart!E10</f>
        <v>0.65333333333333332</v>
      </c>
      <c r="E8" s="25">
        <f>pricing_chart!E10</f>
        <v>375</v>
      </c>
      <c r="F8" s="20">
        <f>pricing_chart!C10/(1-analysis!$F$3)</f>
        <v>260</v>
      </c>
      <c r="G8" s="33">
        <f t="shared" si="3"/>
        <v>0</v>
      </c>
      <c r="I8" s="56" t="str">
        <f>pricing_chart!A10</f>
        <v>Kurti sets</v>
      </c>
      <c r="J8" s="79">
        <f>pricing_chart!F10/pricing_chart!G10</f>
        <v>0.72916666666666663</v>
      </c>
      <c r="K8" s="25">
        <f>pricing_chart!G10</f>
        <v>480</v>
      </c>
      <c r="L8" s="20">
        <f>pricing_chart!C10/(1-analysis!$L$3)</f>
        <v>325</v>
      </c>
      <c r="M8" s="33">
        <f t="shared" si="0"/>
        <v>0</v>
      </c>
      <c r="O8" s="47" t="str">
        <f>pricing_chart!I10</f>
        <v>Vest</v>
      </c>
      <c r="P8" s="23">
        <f>pricing_chart!L10/pricing_chart!M10</f>
        <v>0.5</v>
      </c>
      <c r="Q8" s="25">
        <f>pricing_chart!M10</f>
        <v>100</v>
      </c>
      <c r="R8" s="20">
        <f>pricing_chart!K10/(1-analysis!$R$3)</f>
        <v>100</v>
      </c>
      <c r="S8" s="33">
        <f t="shared" si="1"/>
        <v>0</v>
      </c>
      <c r="U8" s="47" t="str">
        <f>pricing_chart!I10</f>
        <v>Vest</v>
      </c>
      <c r="V8" s="23">
        <f>pricing_chart!N10/pricing_chart!O10</f>
        <v>0.66442953020134232</v>
      </c>
      <c r="W8" s="25">
        <f>pricing_chart!O10</f>
        <v>149</v>
      </c>
      <c r="X8" s="20">
        <f>pricing_chart!K10/(1-analysis!$X$3)</f>
        <v>125</v>
      </c>
      <c r="Y8" s="33">
        <f t="shared" si="2"/>
        <v>0</v>
      </c>
      <c r="AB8" s="51" t="str">
        <f>pricing_chart!Q10</f>
        <v>Uniform - Men</v>
      </c>
      <c r="AC8" s="23">
        <f>pricing_chart!T10/pricing_chart!U10</f>
        <v>0.55456570155902007</v>
      </c>
      <c r="AD8" s="25">
        <f>pricing_chart!U10</f>
        <v>449</v>
      </c>
      <c r="AE8" s="20">
        <f>pricing_chart!S10/(1-analysis!$AE$3)</f>
        <v>400</v>
      </c>
      <c r="AF8" s="33">
        <f>IF(AE8&lt;AD8,0,AE8-AD8)</f>
        <v>0</v>
      </c>
      <c r="AH8" s="19" t="str">
        <f>pricing_chart!Q10</f>
        <v>Uniform - Men</v>
      </c>
      <c r="AI8" s="23">
        <f>pricing_chart!V10/pricing_chart!W10</f>
        <v>0.33873343151693669</v>
      </c>
      <c r="AJ8" s="25">
        <f>pricing_chart!W10</f>
        <v>679</v>
      </c>
      <c r="AK8" s="20">
        <f>(pricing_chart!S10/(1-analysis!$AK$3))</f>
        <v>500</v>
      </c>
      <c r="AL8" s="33">
        <f>IF(AK8&lt;AJ8,0,AK8-AJ8)</f>
        <v>0</v>
      </c>
    </row>
    <row r="9" spans="3:38" ht="28.2" thickBot="1" x14ac:dyDescent="0.3">
      <c r="C9" s="59" t="str">
        <f>pricing_chart!A11</f>
        <v>Salwar / Anarkali suits</v>
      </c>
      <c r="D9" s="79">
        <f>pricing_chart!D11/pricing_chart!E11</f>
        <v>0.68365553602811946</v>
      </c>
      <c r="E9" s="25">
        <f>pricing_chart!E11</f>
        <v>569</v>
      </c>
      <c r="F9" s="20">
        <f>pricing_chart!C11/(1-analysis!$F$3)</f>
        <v>360</v>
      </c>
      <c r="G9" s="33">
        <f t="shared" si="3"/>
        <v>0</v>
      </c>
      <c r="I9" s="56" t="str">
        <f>pricing_chart!A11</f>
        <v>Salwar / Anarkali suits</v>
      </c>
      <c r="J9" s="79">
        <f>pricing_chart!F11/pricing_chart!G11</f>
        <v>0.70967741935483875</v>
      </c>
      <c r="K9" s="25">
        <f>pricing_chart!G11</f>
        <v>620</v>
      </c>
      <c r="L9" s="20">
        <f>pricing_chart!C11/(1-analysis!$L$3)</f>
        <v>450</v>
      </c>
      <c r="M9" s="33">
        <f t="shared" si="0"/>
        <v>0</v>
      </c>
      <c r="O9" s="47" t="str">
        <f>pricing_chart!I11</f>
        <v>Dhoti</v>
      </c>
      <c r="P9" s="23">
        <f>pricing_chart!L11/pricing_chart!M11</f>
        <v>0.5</v>
      </c>
      <c r="Q9" s="25">
        <f>pricing_chart!M11</f>
        <v>100</v>
      </c>
      <c r="R9" s="20">
        <f>pricing_chart!K11/(1-analysis!$R$3)</f>
        <v>100</v>
      </c>
      <c r="S9" s="33">
        <f t="shared" si="1"/>
        <v>0</v>
      </c>
      <c r="U9" s="47" t="str">
        <f>pricing_chart!I11</f>
        <v>Dhoti</v>
      </c>
      <c r="V9" s="23">
        <f>pricing_chart!N11/pricing_chart!O11</f>
        <v>0.66442953020134232</v>
      </c>
      <c r="W9" s="25">
        <f>pricing_chart!O11</f>
        <v>149</v>
      </c>
      <c r="X9" s="20">
        <f>pricing_chart!K11/(1-analysis!$X$3)</f>
        <v>125</v>
      </c>
      <c r="Y9" s="33">
        <f t="shared" si="2"/>
        <v>0</v>
      </c>
      <c r="AB9" s="52" t="str">
        <f>pricing_chart!Q11</f>
        <v>Uniform - Women</v>
      </c>
      <c r="AC9" s="28">
        <f>pricing_chart!T11/pricing_chart!U11</f>
        <v>0.54887218045112784</v>
      </c>
      <c r="AD9" s="26">
        <f>pricing_chart!U11</f>
        <v>399</v>
      </c>
      <c r="AE9" s="27">
        <f>pricing_chart!S11/(1-analysis!$AE$3)</f>
        <v>360</v>
      </c>
      <c r="AF9" s="34">
        <f>IF(AE9&lt;AD9,0,AE9-AD9)</f>
        <v>0</v>
      </c>
      <c r="AH9" s="54" t="str">
        <f>pricing_chart!Q11</f>
        <v>Uniform - Women</v>
      </c>
      <c r="AI9" s="28">
        <f>pricing_chart!V11/pricing_chart!W11</f>
        <v>0.333889816360601</v>
      </c>
      <c r="AJ9" s="26">
        <f>pricing_chart!W11</f>
        <v>599</v>
      </c>
      <c r="AK9" s="27">
        <f>(pricing_chart!S11/(1-analysis!$AK$3))</f>
        <v>450</v>
      </c>
      <c r="AL9" s="34">
        <f>IF(AK9&lt;AJ9,0,AK9-AJ9)</f>
        <v>0</v>
      </c>
    </row>
    <row r="10" spans="3:38" ht="13.8" x14ac:dyDescent="0.25">
      <c r="C10" s="59" t="str">
        <f>pricing_chart!A12</f>
        <v>Co-Ords / Fusions</v>
      </c>
      <c r="D10" s="79">
        <f>pricing_chart!D12/pricing_chart!E12</f>
        <v>0.58868894601542421</v>
      </c>
      <c r="E10" s="25">
        <f>pricing_chart!E12</f>
        <v>389</v>
      </c>
      <c r="F10" s="20">
        <f>pricing_chart!C12/(1-analysis!$F$3)</f>
        <v>320</v>
      </c>
      <c r="G10" s="33">
        <f t="shared" si="3"/>
        <v>0</v>
      </c>
      <c r="I10" s="56" t="str">
        <f>pricing_chart!A12</f>
        <v>Co-Ords / Fusions</v>
      </c>
      <c r="J10" s="79">
        <f>pricing_chart!F12/pricing_chart!G12</f>
        <v>0.66873706004140787</v>
      </c>
      <c r="K10" s="25">
        <f>pricing_chart!G12</f>
        <v>483</v>
      </c>
      <c r="L10" s="20">
        <f>pricing_chart!C12/(1-analysis!$L$3)</f>
        <v>400</v>
      </c>
      <c r="M10" s="33">
        <f t="shared" si="0"/>
        <v>0</v>
      </c>
      <c r="O10" s="47" t="str">
        <f>pricing_chart!I12</f>
        <v>Kurta (Basic)</v>
      </c>
      <c r="P10" s="23">
        <f>pricing_chart!L12/pricing_chart!M12</f>
        <v>0.56989247311827962</v>
      </c>
      <c r="Q10" s="25">
        <f>pricing_chart!M12</f>
        <v>279</v>
      </c>
      <c r="R10" s="20">
        <f>pricing_chart!K12/(1-analysis!$R$3)</f>
        <v>240</v>
      </c>
      <c r="S10" s="33">
        <f t="shared" si="1"/>
        <v>0</v>
      </c>
      <c r="U10" s="47" t="str">
        <f>pricing_chart!I12</f>
        <v>Kurta (Basic)</v>
      </c>
      <c r="V10" s="23">
        <f>pricing_chart!N12/pricing_chart!O12</f>
        <v>0.65616045845272208</v>
      </c>
      <c r="W10" s="25">
        <f>pricing_chart!O12</f>
        <v>349</v>
      </c>
      <c r="X10" s="20">
        <f>pricing_chart!K12/(1-analysis!$X$3)</f>
        <v>300</v>
      </c>
      <c r="Y10" s="33">
        <f t="shared" si="2"/>
        <v>0</v>
      </c>
    </row>
    <row r="11" spans="3:38" ht="13.8" x14ac:dyDescent="0.25">
      <c r="C11" s="59" t="str">
        <f>pricing_chart!A13</f>
        <v>Leggings / Inskirts</v>
      </c>
      <c r="D11" s="79">
        <f>pricing_chart!D13/pricing_chart!E13</f>
        <v>0.65116279069767447</v>
      </c>
      <c r="E11" s="25">
        <f>pricing_chart!E13</f>
        <v>129</v>
      </c>
      <c r="F11" s="20">
        <f>pricing_chart!C13/(1-analysis!$F$3)</f>
        <v>90</v>
      </c>
      <c r="G11" s="33">
        <f t="shared" si="3"/>
        <v>0</v>
      </c>
      <c r="I11" s="56" t="str">
        <f>pricing_chart!A13</f>
        <v>Leggings / Inskirts</v>
      </c>
      <c r="J11" s="79">
        <f>pricing_chart!F13/pricing_chart!G13</f>
        <v>0.77157360406091369</v>
      </c>
      <c r="K11" s="25">
        <f>pricing_chart!G13</f>
        <v>197</v>
      </c>
      <c r="L11" s="20">
        <f>pricing_chart!C13/(1-analysis!$L$3)</f>
        <v>112.5</v>
      </c>
      <c r="M11" s="33">
        <f t="shared" si="0"/>
        <v>0</v>
      </c>
      <c r="O11" s="47" t="str">
        <f>pricing_chart!I13</f>
        <v>Kurta (Premium)</v>
      </c>
      <c r="P11" s="23">
        <f>pricing_chart!L13/pricing_chart!M13</f>
        <v>0.69498910675381265</v>
      </c>
      <c r="Q11" s="25">
        <f>pricing_chart!M13</f>
        <v>459</v>
      </c>
      <c r="R11" s="20">
        <f>pricing_chart!K13/(1-analysis!$R$3)</f>
        <v>280</v>
      </c>
      <c r="S11" s="33">
        <f t="shared" si="1"/>
        <v>0</v>
      </c>
      <c r="U11" s="47" t="str">
        <f>pricing_chart!I13</f>
        <v>Kurta (Premium)</v>
      </c>
      <c r="V11" s="23">
        <f>pricing_chart!N13/pricing_chart!O13</f>
        <v>0.64912280701754388</v>
      </c>
      <c r="W11" s="25">
        <f>pricing_chart!O13</f>
        <v>399</v>
      </c>
      <c r="X11" s="20">
        <f>pricing_chart!K13/(1-analysis!$X$3)</f>
        <v>350</v>
      </c>
      <c r="Y11" s="33">
        <f t="shared" si="2"/>
        <v>0</v>
      </c>
    </row>
    <row r="12" spans="3:38" ht="13.8" x14ac:dyDescent="0.25">
      <c r="C12" s="59" t="str">
        <f>pricing_chart!A14</f>
        <v>Skirt</v>
      </c>
      <c r="D12" s="79">
        <f>pricing_chart!D14/pricing_chart!E14</f>
        <v>0.62962962962962965</v>
      </c>
      <c r="E12" s="25">
        <f>pricing_chart!E14</f>
        <v>189</v>
      </c>
      <c r="F12" s="20">
        <f>pricing_chart!C14/(1-analysis!$F$3)</f>
        <v>140</v>
      </c>
      <c r="G12" s="33">
        <f t="shared" si="3"/>
        <v>0</v>
      </c>
      <c r="I12" s="56" t="str">
        <f>pricing_chart!A14</f>
        <v>Skirt</v>
      </c>
      <c r="J12" s="79">
        <f>pricing_chart!F14/pricing_chart!G14</f>
        <v>0.76588628762541811</v>
      </c>
      <c r="K12" s="25">
        <f>pricing_chart!G14</f>
        <v>299</v>
      </c>
      <c r="L12" s="20">
        <f>pricing_chart!C14/(1-analysis!$L$3)</f>
        <v>175</v>
      </c>
      <c r="M12" s="33">
        <f t="shared" si="0"/>
        <v>0</v>
      </c>
      <c r="O12" s="47" t="str">
        <f>pricing_chart!I14</f>
        <v>Sherwani (Basic)</v>
      </c>
      <c r="P12" s="23">
        <f>pricing_chart!L14/pricing_chart!M14</f>
        <v>0.62476547842401498</v>
      </c>
      <c r="Q12" s="25">
        <f>pricing_chart!M14</f>
        <v>1599</v>
      </c>
      <c r="R12" s="20">
        <f>pricing_chart!K14/(1-analysis!$R$3)</f>
        <v>1200</v>
      </c>
      <c r="S12" s="33">
        <f t="shared" si="1"/>
        <v>0</v>
      </c>
      <c r="U12" s="47" t="str">
        <f>pricing_chart!I14</f>
        <v>Sherwani (Basic)</v>
      </c>
      <c r="V12" s="23">
        <f>pricing_chart!N14/pricing_chart!O14</f>
        <v>0.68404423380726698</v>
      </c>
      <c r="W12" s="25">
        <f>pricing_chart!O14</f>
        <v>1899</v>
      </c>
      <c r="X12" s="20">
        <f>pricing_chart!K14/(1-analysis!$X$3)</f>
        <v>1500</v>
      </c>
      <c r="Y12" s="33">
        <f t="shared" si="2"/>
        <v>0</v>
      </c>
    </row>
    <row r="13" spans="3:38" ht="13.8" x14ac:dyDescent="0.25">
      <c r="C13" s="59" t="str">
        <f>pricing_chart!A15</f>
        <v>Blouse</v>
      </c>
      <c r="D13" s="79">
        <f>pricing_chart!D15/pricing_chart!E15</f>
        <v>0.6</v>
      </c>
      <c r="E13" s="25">
        <f>pricing_chart!E15</f>
        <v>250</v>
      </c>
      <c r="F13" s="20">
        <f>pricing_chart!C15/(1-analysis!$F$3)</f>
        <v>200</v>
      </c>
      <c r="G13" s="33">
        <f t="shared" si="3"/>
        <v>0</v>
      </c>
      <c r="I13" s="56" t="str">
        <f>pricing_chart!A15</f>
        <v>Blouse</v>
      </c>
      <c r="J13" s="79">
        <f>pricing_chart!F15/pricing_chart!G15</f>
        <v>0.67741935483870963</v>
      </c>
      <c r="K13" s="25">
        <f>pricing_chart!G15</f>
        <v>310</v>
      </c>
      <c r="L13" s="20">
        <f>pricing_chart!C15/(1-analysis!$L$3)</f>
        <v>250</v>
      </c>
      <c r="M13" s="33">
        <f t="shared" si="0"/>
        <v>0</v>
      </c>
      <c r="O13" s="47" t="str">
        <f>pricing_chart!I15</f>
        <v>Sherwani (Premium)</v>
      </c>
      <c r="P13" s="23">
        <f>pricing_chart!L15/pricing_chart!M15</f>
        <v>0.69047619047619047</v>
      </c>
      <c r="Q13" s="25">
        <f>pricing_chart!M15</f>
        <v>2100</v>
      </c>
      <c r="R13" s="20">
        <f>pricing_chart!K15/(1-analysis!$R$3)</f>
        <v>1300</v>
      </c>
      <c r="S13" s="33">
        <f t="shared" si="1"/>
        <v>0</v>
      </c>
      <c r="U13" s="47" t="str">
        <f>pricing_chart!I15</f>
        <v>Sherwani (Premium)</v>
      </c>
      <c r="V13" s="23">
        <f>pricing_chart!N15/pricing_chart!O15</f>
        <v>0.74</v>
      </c>
      <c r="W13" s="25">
        <f>pricing_chart!O15</f>
        <v>2500</v>
      </c>
      <c r="X13" s="20">
        <f>pricing_chart!K15/(1-analysis!$X$3)</f>
        <v>1625</v>
      </c>
      <c r="Y13" s="33">
        <f t="shared" si="2"/>
        <v>0</v>
      </c>
    </row>
    <row r="14" spans="3:38" ht="13.8" x14ac:dyDescent="0.25">
      <c r="C14" s="59" t="str">
        <f>pricing_chart!A16</f>
        <v>Designer / Blouse</v>
      </c>
      <c r="D14" s="79">
        <f>pricing_chart!D16/pricing_chart!E16</f>
        <v>0.55555555555555558</v>
      </c>
      <c r="E14" s="25">
        <f>pricing_chart!E16</f>
        <v>450</v>
      </c>
      <c r="F14" s="20">
        <f>pricing_chart!C16/(1-analysis!$F$3)</f>
        <v>400</v>
      </c>
      <c r="G14" s="33">
        <f t="shared" si="3"/>
        <v>0</v>
      </c>
      <c r="I14" s="56" t="str">
        <f>pricing_chart!A16</f>
        <v>Designer / Blouse</v>
      </c>
      <c r="J14" s="79">
        <f>pricing_chart!F16/pricing_chart!G16</f>
        <v>0.64850615114235499</v>
      </c>
      <c r="K14" s="25">
        <f>pricing_chart!G16</f>
        <v>569</v>
      </c>
      <c r="L14" s="20">
        <f>pricing_chart!C16/(1-analysis!$L$3)</f>
        <v>500</v>
      </c>
      <c r="M14" s="33">
        <f t="shared" si="0"/>
        <v>0</v>
      </c>
      <c r="O14" s="47" t="str">
        <f>pricing_chart!I16</f>
        <v>Pant (Basic)</v>
      </c>
      <c r="P14" s="23">
        <f>pricing_chart!L16/pricing_chart!M16</f>
        <v>0.65789473684210531</v>
      </c>
      <c r="Q14" s="25">
        <f>pricing_chart!M16</f>
        <v>380</v>
      </c>
      <c r="R14" s="20">
        <f>pricing_chart!K16/(1-analysis!$R$3)</f>
        <v>260</v>
      </c>
      <c r="S14" s="33">
        <f t="shared" si="1"/>
        <v>0</v>
      </c>
      <c r="U14" s="47" t="str">
        <f>pricing_chart!I16</f>
        <v>Pant (Basic)</v>
      </c>
      <c r="V14" s="23">
        <f>pricing_chart!N16/pricing_chart!O16</f>
        <v>0.68292682926829273</v>
      </c>
      <c r="W14" s="25">
        <f>pricing_chart!O16</f>
        <v>410</v>
      </c>
      <c r="X14" s="20">
        <f>pricing_chart!K16/(1-analysis!$X$3)</f>
        <v>325</v>
      </c>
      <c r="Y14" s="33">
        <f t="shared" si="2"/>
        <v>0</v>
      </c>
    </row>
    <row r="15" spans="3:38" ht="13.8" x14ac:dyDescent="0.25">
      <c r="C15" s="59" t="str">
        <f>pricing_chart!A17</f>
        <v>Innerwears</v>
      </c>
      <c r="D15" s="79">
        <f>pricing_chart!D17/pricing_chart!E17</f>
        <v>0.61904761904761907</v>
      </c>
      <c r="E15" s="25">
        <f>pricing_chart!E17</f>
        <v>210</v>
      </c>
      <c r="F15" s="20">
        <f>pricing_chart!C17/(1-analysis!$F$3)</f>
        <v>160</v>
      </c>
      <c r="G15" s="33">
        <f t="shared" si="3"/>
        <v>0</v>
      </c>
      <c r="I15" s="56" t="str">
        <f>pricing_chart!A17</f>
        <v>Innerwears</v>
      </c>
      <c r="J15" s="79">
        <f>pricing_chart!F17/pricing_chart!G17</f>
        <v>0.70588235294117652</v>
      </c>
      <c r="K15" s="25">
        <f>pricing_chart!G17</f>
        <v>272</v>
      </c>
      <c r="L15" s="20">
        <f>pricing_chart!C17/(1-analysis!$L$3)</f>
        <v>200</v>
      </c>
      <c r="M15" s="33">
        <f t="shared" si="0"/>
        <v>0</v>
      </c>
      <c r="O15" s="47" t="str">
        <f>pricing_chart!I17</f>
        <v>Pant (Premium)</v>
      </c>
      <c r="P15" s="23">
        <f>pricing_chart!L17/pricing_chart!M17</f>
        <v>0.71111111111111114</v>
      </c>
      <c r="Q15" s="25">
        <f>pricing_chart!M17</f>
        <v>450</v>
      </c>
      <c r="R15" s="20">
        <f>pricing_chart!K17/(1-analysis!$R$3)</f>
        <v>260</v>
      </c>
      <c r="S15" s="33">
        <f t="shared" si="1"/>
        <v>0</v>
      </c>
      <c r="U15" s="47" t="str">
        <f>pricing_chart!I17</f>
        <v>Pant (Premium)</v>
      </c>
      <c r="V15" s="23">
        <f>pricing_chart!N17/pricing_chart!O17</f>
        <v>0.73947895791583163</v>
      </c>
      <c r="W15" s="25">
        <f>pricing_chart!O17</f>
        <v>499</v>
      </c>
      <c r="X15" s="20">
        <f>pricing_chart!K17/(1-analysis!$X$3)</f>
        <v>325</v>
      </c>
      <c r="Y15" s="33">
        <f t="shared" si="2"/>
        <v>0</v>
      </c>
    </row>
    <row r="16" spans="3:38" ht="13.8" x14ac:dyDescent="0.25">
      <c r="C16" s="59" t="str">
        <f>pricing_chart!A18</f>
        <v>T-shirts</v>
      </c>
      <c r="D16" s="79">
        <f>pricing_chart!D18/pricing_chart!E18</f>
        <v>0.58333333333333337</v>
      </c>
      <c r="E16" s="25">
        <f>pricing_chart!E18</f>
        <v>168</v>
      </c>
      <c r="F16" s="20">
        <f>pricing_chart!C18/(1-analysis!$F$3)</f>
        <v>140</v>
      </c>
      <c r="G16" s="33">
        <f t="shared" si="3"/>
        <v>0</v>
      </c>
      <c r="I16" s="56" t="str">
        <f>pricing_chart!A18</f>
        <v>T-shirts</v>
      </c>
      <c r="J16" s="79">
        <f>pricing_chart!F18/pricing_chart!G18</f>
        <v>0.68036529680365299</v>
      </c>
      <c r="K16" s="25">
        <f>pricing_chart!G18</f>
        <v>219</v>
      </c>
      <c r="L16" s="20">
        <f>pricing_chart!C18/(1-analysis!$L$3)</f>
        <v>175</v>
      </c>
      <c r="M16" s="33">
        <f t="shared" si="0"/>
        <v>0</v>
      </c>
      <c r="O16" s="47" t="str">
        <f>pricing_chart!I18</f>
        <v>Shot / Trousers (Basic)</v>
      </c>
      <c r="P16" s="23">
        <f>pricing_chart!L18/pricing_chart!M18</f>
        <v>0.54773869346733672</v>
      </c>
      <c r="Q16" s="25">
        <f>pricing_chart!M18</f>
        <v>199</v>
      </c>
      <c r="R16" s="20">
        <f>pricing_chart!K18/(1-analysis!$R$3)</f>
        <v>180</v>
      </c>
      <c r="S16" s="33">
        <f t="shared" si="1"/>
        <v>0</v>
      </c>
      <c r="U16" s="47" t="str">
        <f>pricing_chart!I18</f>
        <v>Shot / Trousers (Basic)</v>
      </c>
      <c r="V16" s="23">
        <f>pricing_chart!N18/pricing_chart!O18</f>
        <v>0.62343096234309625</v>
      </c>
      <c r="W16" s="25">
        <f>pricing_chart!O18</f>
        <v>239</v>
      </c>
      <c r="X16" s="20">
        <f>pricing_chart!K18/(1-analysis!$X$3)</f>
        <v>225</v>
      </c>
      <c r="Y16" s="33">
        <f t="shared" si="2"/>
        <v>0</v>
      </c>
    </row>
    <row r="17" spans="3:38" ht="14.4" thickBot="1" x14ac:dyDescent="0.3">
      <c r="C17" s="59" t="str">
        <f>pricing_chart!A19</f>
        <v>Shots</v>
      </c>
      <c r="D17" s="79">
        <f>pricing_chart!D19/pricing_chart!E19</f>
        <v>0.51515151515151514</v>
      </c>
      <c r="E17" s="25">
        <f>pricing_chart!E19</f>
        <v>165</v>
      </c>
      <c r="F17" s="20">
        <f>pricing_chart!C19/(1-analysis!$F$3)</f>
        <v>160</v>
      </c>
      <c r="G17" s="33">
        <f t="shared" si="3"/>
        <v>0</v>
      </c>
      <c r="I17" s="56" t="str">
        <f>pricing_chart!A19</f>
        <v>Shots</v>
      </c>
      <c r="J17" s="79">
        <f>pricing_chart!F19/pricing_chart!G19</f>
        <v>0.67871485943775101</v>
      </c>
      <c r="K17" s="25">
        <f>pricing_chart!G19</f>
        <v>249</v>
      </c>
      <c r="L17" s="20">
        <f>pricing_chart!C19/(1-analysis!$L$3)</f>
        <v>200</v>
      </c>
      <c r="M17" s="33">
        <f t="shared" si="0"/>
        <v>0</v>
      </c>
      <c r="O17" s="48" t="str">
        <f>pricing_chart!I19</f>
        <v>Shot / Trousers (Premium)</v>
      </c>
      <c r="P17" s="28">
        <f>pricing_chart!L19/pricing_chart!M19</f>
        <v>0.57446808510638303</v>
      </c>
      <c r="Q17" s="26">
        <f>pricing_chart!M19</f>
        <v>235</v>
      </c>
      <c r="R17" s="27">
        <f>pricing_chart!K19/(1-analysis!$R$3)</f>
        <v>200</v>
      </c>
      <c r="S17" s="34">
        <f t="shared" si="1"/>
        <v>0</v>
      </c>
      <c r="U17" s="48" t="str">
        <f>pricing_chart!I19</f>
        <v>Shot / Trousers (Premium)</v>
      </c>
      <c r="V17" s="28">
        <f>pricing_chart!N19/pricing_chart!O19</f>
        <v>0.61538461538461542</v>
      </c>
      <c r="W17" s="26">
        <f>pricing_chart!O19</f>
        <v>260</v>
      </c>
      <c r="X17" s="27">
        <f>pricing_chart!K19/(1-analysis!$X$3)</f>
        <v>250</v>
      </c>
      <c r="Y17" s="34">
        <f t="shared" si="2"/>
        <v>0</v>
      </c>
    </row>
    <row r="18" spans="3:38" ht="13.8" x14ac:dyDescent="0.25">
      <c r="C18" s="59" t="str">
        <f>pricing_chart!A20</f>
        <v>Trousers / Track pants</v>
      </c>
      <c r="D18" s="79">
        <f>pricing_chart!D20/pricing_chart!E20</f>
        <v>0.56521739130434778</v>
      </c>
      <c r="E18" s="25">
        <f>pricing_chart!E20</f>
        <v>230</v>
      </c>
      <c r="F18" s="20">
        <f>pricing_chart!C20/(1-analysis!$F$3)</f>
        <v>200</v>
      </c>
      <c r="G18" s="33">
        <f t="shared" si="3"/>
        <v>0</v>
      </c>
      <c r="I18" s="56" t="str">
        <f>pricing_chart!A20</f>
        <v>Trousers / Track pants</v>
      </c>
      <c r="J18" s="79">
        <f>pricing_chart!F20/pricing_chart!G20</f>
        <v>0.67105263157894735</v>
      </c>
      <c r="K18" s="25">
        <f>pricing_chart!G20</f>
        <v>304</v>
      </c>
      <c r="L18" s="20">
        <f>pricing_chart!C20/(1-analysis!$L$3)</f>
        <v>250</v>
      </c>
      <c r="M18" s="33">
        <f t="shared" si="0"/>
        <v>0</v>
      </c>
    </row>
    <row r="19" spans="3:38" ht="13.8" x14ac:dyDescent="0.25">
      <c r="C19" s="59" t="str">
        <f>pricing_chart!A21</f>
        <v>Formal Shirts &amp; Pants set</v>
      </c>
      <c r="D19" s="79">
        <f>pricing_chart!D21/pricing_chart!E21</f>
        <v>0.50617283950617287</v>
      </c>
      <c r="E19" s="25">
        <f>pricing_chart!E21</f>
        <v>810</v>
      </c>
      <c r="F19" s="20">
        <f>pricing_chart!C21/(1-analysis!$F$3)</f>
        <v>800</v>
      </c>
      <c r="G19" s="33">
        <f t="shared" si="3"/>
        <v>0</v>
      </c>
      <c r="I19" s="56" t="str">
        <f>pricing_chart!A21</f>
        <v>Formal Shirts &amp; Pants set</v>
      </c>
      <c r="J19" s="79">
        <f>pricing_chart!F21/pricing_chart!G21</f>
        <v>0.6</v>
      </c>
      <c r="K19" s="25">
        <f>pricing_chart!G21</f>
        <v>1000</v>
      </c>
      <c r="L19" s="20">
        <f>pricing_chart!C21/(1-analysis!$L$3)</f>
        <v>1000</v>
      </c>
      <c r="M19" s="33">
        <f t="shared" si="0"/>
        <v>0</v>
      </c>
    </row>
    <row r="20" spans="3:38" ht="13.8" x14ac:dyDescent="0.25">
      <c r="C20" s="59" t="str">
        <f>pricing_chart!A22</f>
        <v>Nightwear / Loungewear</v>
      </c>
      <c r="D20" s="79">
        <f>pricing_chart!D22/pricing_chart!E22</f>
        <v>0.62825278810408924</v>
      </c>
      <c r="E20" s="25">
        <f>pricing_chart!E22</f>
        <v>269</v>
      </c>
      <c r="F20" s="20">
        <f>pricing_chart!C22/(1-analysis!$F$3)</f>
        <v>200</v>
      </c>
      <c r="G20" s="33">
        <f t="shared" si="3"/>
        <v>0</v>
      </c>
      <c r="I20" s="56" t="str">
        <f>pricing_chart!A22</f>
        <v>Nightwear / Loungewear</v>
      </c>
      <c r="J20" s="79">
        <f>pricing_chart!F22/pricing_chart!G22</f>
        <v>0.74937343358395991</v>
      </c>
      <c r="K20" s="25">
        <f>pricing_chart!G22</f>
        <v>399</v>
      </c>
      <c r="L20" s="20">
        <f>pricing_chart!C22/(1-analysis!$L$3)</f>
        <v>250</v>
      </c>
      <c r="M20" s="33">
        <f t="shared" si="0"/>
        <v>0</v>
      </c>
    </row>
    <row r="21" spans="3:38" ht="13.8" x14ac:dyDescent="0.25">
      <c r="C21" s="59" t="str">
        <f>pricing_chart!A23</f>
        <v xml:space="preserve">Lehanga Set </v>
      </c>
      <c r="D21" s="79">
        <f>pricing_chart!D23/pricing_chart!E23</f>
        <v>0.5</v>
      </c>
      <c r="E21" s="25">
        <f>pricing_chart!E23</f>
        <v>1000</v>
      </c>
      <c r="F21" s="20">
        <f>pricing_chart!C23/(1-analysis!$F$3)</f>
        <v>1000</v>
      </c>
      <c r="G21" s="33">
        <f t="shared" si="3"/>
        <v>0</v>
      </c>
      <c r="I21" s="56" t="str">
        <f>pricing_chart!A23</f>
        <v xml:space="preserve">Lehanga Set </v>
      </c>
      <c r="J21" s="79">
        <f>pricing_chart!F23/pricing_chart!G23</f>
        <v>0.61508852963818317</v>
      </c>
      <c r="K21" s="25">
        <f>pricing_chart!G23</f>
        <v>1299</v>
      </c>
      <c r="L21" s="20">
        <f>pricing_chart!C23/(1-analysis!$L$3)</f>
        <v>1250</v>
      </c>
      <c r="M21" s="33">
        <f t="shared" si="0"/>
        <v>0</v>
      </c>
    </row>
    <row r="22" spans="3:38" ht="14.4" thickBot="1" x14ac:dyDescent="0.3">
      <c r="C22" s="60" t="str">
        <f>pricing_chart!A24</f>
        <v>Half Saree</v>
      </c>
      <c r="D22" s="80">
        <f>pricing_chart!D24/pricing_chart!E24</f>
        <v>0.61067853170189101</v>
      </c>
      <c r="E22" s="26">
        <f>pricing_chart!E24</f>
        <v>899</v>
      </c>
      <c r="F22" s="27">
        <f>pricing_chart!C24/(1-analysis!$F$3)</f>
        <v>700</v>
      </c>
      <c r="G22" s="34">
        <f t="shared" si="3"/>
        <v>0</v>
      </c>
      <c r="I22" s="57" t="str">
        <f>pricing_chart!A24</f>
        <v>Half Saree</v>
      </c>
      <c r="J22" s="80">
        <f>pricing_chart!F24/pricing_chart!G24</f>
        <v>0.64964964964964966</v>
      </c>
      <c r="K22" s="26">
        <f>pricing_chart!G24</f>
        <v>999</v>
      </c>
      <c r="L22" s="27">
        <f>pricing_chart!C24/(1-analysis!$L$3)</f>
        <v>875</v>
      </c>
      <c r="M22" s="34">
        <f t="shared" si="0"/>
        <v>0</v>
      </c>
    </row>
    <row r="24" spans="3:38" ht="13.8" thickBot="1" x14ac:dyDescent="0.3">
      <c r="O24" s="61"/>
      <c r="R24" s="62"/>
    </row>
    <row r="25" spans="3:38" s="63" customFormat="1" x14ac:dyDescent="0.25">
      <c r="F25" s="37" t="s">
        <v>56</v>
      </c>
      <c r="L25" s="37" t="s">
        <v>56</v>
      </c>
      <c r="R25" s="37" t="s">
        <v>56</v>
      </c>
      <c r="X25" s="37" t="s">
        <v>56</v>
      </c>
      <c r="AE25" s="37" t="s">
        <v>56</v>
      </c>
      <c r="AK25" s="37" t="s">
        <v>56</v>
      </c>
    </row>
    <row r="26" spans="3:38" s="63" customFormat="1" ht="13.8" thickBot="1" x14ac:dyDescent="0.3">
      <c r="F26" s="36">
        <v>0.5</v>
      </c>
      <c r="L26" s="36">
        <v>0.5</v>
      </c>
      <c r="R26" s="36">
        <v>0.5</v>
      </c>
      <c r="X26" s="36">
        <v>0.55000000000000004</v>
      </c>
      <c r="AE26" s="36">
        <v>0.6</v>
      </c>
      <c r="AK26" s="36">
        <v>0.55000000000000004</v>
      </c>
    </row>
    <row r="27" spans="3:38" s="63" customFormat="1" ht="13.8" thickBot="1" x14ac:dyDescent="0.3"/>
    <row r="28" spans="3:38" s="43" customFormat="1" ht="40.200000000000003" thickBot="1" x14ac:dyDescent="0.3">
      <c r="C28" s="45" t="s">
        <v>3</v>
      </c>
      <c r="D28" s="39" t="s">
        <v>53</v>
      </c>
      <c r="E28" s="40" t="s">
        <v>55</v>
      </c>
      <c r="F28" s="41"/>
      <c r="G28" s="42" t="s">
        <v>57</v>
      </c>
      <c r="I28" s="45" t="s">
        <v>3</v>
      </c>
      <c r="J28" s="39" t="s">
        <v>54</v>
      </c>
      <c r="K28" s="40" t="s">
        <v>55</v>
      </c>
      <c r="L28" s="41"/>
      <c r="M28" s="42" t="s">
        <v>57</v>
      </c>
      <c r="N28" s="44"/>
      <c r="O28" s="45" t="s">
        <v>3</v>
      </c>
      <c r="P28" s="39" t="s">
        <v>53</v>
      </c>
      <c r="Q28" s="40" t="s">
        <v>55</v>
      </c>
      <c r="R28" s="41"/>
      <c r="S28" s="42" t="s">
        <v>57</v>
      </c>
      <c r="U28" s="45" t="s">
        <v>3</v>
      </c>
      <c r="V28" s="39" t="s">
        <v>54</v>
      </c>
      <c r="W28" s="40" t="s">
        <v>55</v>
      </c>
      <c r="X28" s="41"/>
      <c r="Y28" s="42" t="s">
        <v>57</v>
      </c>
      <c r="AB28" s="45" t="s">
        <v>3</v>
      </c>
      <c r="AC28" s="39" t="s">
        <v>53</v>
      </c>
      <c r="AD28" s="40" t="s">
        <v>55</v>
      </c>
      <c r="AE28" s="41"/>
      <c r="AF28" s="42" t="s">
        <v>57</v>
      </c>
      <c r="AH28" s="38" t="s">
        <v>3</v>
      </c>
      <c r="AI28" s="39" t="s">
        <v>54</v>
      </c>
      <c r="AJ28" s="40" t="s">
        <v>55</v>
      </c>
      <c r="AK28" s="41"/>
      <c r="AL28" s="42" t="s">
        <v>57</v>
      </c>
    </row>
    <row r="29" spans="3:38" s="63" customFormat="1" ht="27.6" x14ac:dyDescent="0.25">
      <c r="C29" s="58" t="str">
        <f>C6</f>
        <v>Short Kurti</v>
      </c>
      <c r="D29" s="78">
        <f>pricing_chart!D36/pricing_chart!E36</f>
        <v>0.5161290322580645</v>
      </c>
      <c r="E29" s="24">
        <f>pricing_chart!E36</f>
        <v>155</v>
      </c>
      <c r="F29" s="21">
        <f>pricing_chart!C36/(1-analysis!$F$26)</f>
        <v>150</v>
      </c>
      <c r="G29" s="32">
        <f>IF(F29&lt;E29,0,F29-E29)</f>
        <v>0</v>
      </c>
      <c r="I29" s="55" t="str">
        <f>I6</f>
        <v>Short Kurti</v>
      </c>
      <c r="J29" s="78">
        <f>pricing_chart!F36/pricing_chart!G36</f>
        <v>0.67260345730749083</v>
      </c>
      <c r="K29" s="24">
        <f>pricing_chart!G36</f>
        <v>229.08</v>
      </c>
      <c r="L29" s="21">
        <f>pricing_chart!C36/(1-analysis!$L$26)</f>
        <v>150</v>
      </c>
      <c r="M29" s="32">
        <f t="shared" ref="M29:M45" si="4">IF(L29&lt;K29,0,L29-K29)</f>
        <v>0</v>
      </c>
      <c r="N29" s="18"/>
      <c r="O29" s="46" t="str">
        <f>O6</f>
        <v>Shirt</v>
      </c>
      <c r="P29" s="22">
        <f>pricing_chart!L36/pricing_chart!M36</f>
        <v>0.47826086956521741</v>
      </c>
      <c r="Q29" s="30">
        <f>pricing_chart!M36</f>
        <v>230</v>
      </c>
      <c r="R29" s="31">
        <f>pricing_chart!K36/(1-analysis!$R$26)</f>
        <v>240</v>
      </c>
      <c r="S29" s="35">
        <f t="shared" ref="S29:S40" si="5">IF(R29&lt;Q29,0,R29-Q29)</f>
        <v>10</v>
      </c>
      <c r="U29" s="46" t="str">
        <f>U6</f>
        <v>Shirt</v>
      </c>
      <c r="V29" s="22">
        <f>pricing_chart!N36/pricing_chart!O36</f>
        <v>0.550561797752809</v>
      </c>
      <c r="W29" s="30">
        <f>pricing_chart!O36</f>
        <v>267</v>
      </c>
      <c r="X29" s="31">
        <f>pricing_chart!K36/(1-analysis!$X$26)</f>
        <v>266.66666666666669</v>
      </c>
      <c r="Y29" s="35">
        <f t="shared" ref="Y29:Y40" si="6">IF(X29&lt;W29,0,X29-W29)</f>
        <v>0</v>
      </c>
      <c r="AB29" s="49" t="str">
        <f>AB6</f>
        <v>School Uniform(girls)</v>
      </c>
      <c r="AC29" s="29">
        <f>pricing_chart!T36/pricing_chart!U36</f>
        <v>0.60396039603960394</v>
      </c>
      <c r="AD29" s="24">
        <f>pricing_chart!U36</f>
        <v>303</v>
      </c>
      <c r="AE29" s="21">
        <f>pricing_chart!S36/(1-analysis!$AE$26)</f>
        <v>300</v>
      </c>
      <c r="AF29" s="32">
        <f>IF(AE29&lt;AD29,0,AE29-AD29)</f>
        <v>0</v>
      </c>
      <c r="AH29" s="53" t="str">
        <f>AH6</f>
        <v>School Uniform(girls)</v>
      </c>
      <c r="AI29" s="29">
        <f>pricing_chart!V36/pricing_chart!W36</f>
        <v>0.73856209150326801</v>
      </c>
      <c r="AJ29" s="24">
        <f>pricing_chart!W36</f>
        <v>459</v>
      </c>
      <c r="AK29" s="21">
        <f>(pricing_chart!S36/(1-analysis!$AK$26))</f>
        <v>266.66666666666669</v>
      </c>
      <c r="AL29" s="32">
        <f>IF(AK29&lt;AJ29,0,AK29-AJ29)</f>
        <v>0</v>
      </c>
    </row>
    <row r="30" spans="3:38" s="63" customFormat="1" ht="27.6" x14ac:dyDescent="0.25">
      <c r="C30" s="59" t="str">
        <f t="shared" ref="C30:C45" si="7">C7</f>
        <v>Kurti</v>
      </c>
      <c r="D30" s="79">
        <f>pricing_chart!D37/pricing_chart!E37</f>
        <v>0.55223880597014929</v>
      </c>
      <c r="E30" s="25">
        <f>pricing_chart!E37</f>
        <v>201</v>
      </c>
      <c r="F30" s="20">
        <f>pricing_chart!C37/(1-analysis!$F$26)</f>
        <v>180</v>
      </c>
      <c r="G30" s="33">
        <f t="shared" ref="G30:G45" si="8">IF(F30&lt;E30,0,F30-E30)</f>
        <v>0</v>
      </c>
      <c r="I30" s="56" t="str">
        <f t="shared" ref="I30:I45" si="9">I7</f>
        <v>Kurti</v>
      </c>
      <c r="J30" s="79">
        <f>pricing_chart!F37/pricing_chart!G37</f>
        <v>0.71142747210465562</v>
      </c>
      <c r="K30" s="25">
        <f>pricing_chart!G37</f>
        <v>311.88</v>
      </c>
      <c r="L30" s="20">
        <f>pricing_chart!C37/(1-analysis!$L$26)</f>
        <v>180</v>
      </c>
      <c r="M30" s="33">
        <f t="shared" si="4"/>
        <v>0</v>
      </c>
      <c r="O30" s="47" t="str">
        <f t="shared" ref="O30:O40" si="10">O7</f>
        <v>T-Shirt</v>
      </c>
      <c r="P30" s="23">
        <f>pricing_chart!L37/pricing_chart!M37</f>
        <v>0.57831325301204817</v>
      </c>
      <c r="Q30" s="25">
        <f>pricing_chart!M37</f>
        <v>166</v>
      </c>
      <c r="R30" s="20">
        <f>pricing_chart!K37/(1-analysis!$R$26)</f>
        <v>140</v>
      </c>
      <c r="S30" s="33">
        <f t="shared" si="5"/>
        <v>0</v>
      </c>
      <c r="U30" s="47" t="str">
        <f t="shared" ref="U30:U40" si="11">U7</f>
        <v>T-Shirt</v>
      </c>
      <c r="V30" s="23">
        <f>pricing_chart!N37/pricing_chart!O37</f>
        <v>0.55128205128205132</v>
      </c>
      <c r="W30" s="25">
        <f>pricing_chart!O37</f>
        <v>156</v>
      </c>
      <c r="X30" s="20">
        <f>pricing_chart!K37/(1-analysis!$X$26)</f>
        <v>155.55555555555557</v>
      </c>
      <c r="Y30" s="33">
        <f t="shared" si="6"/>
        <v>0</v>
      </c>
      <c r="AB30" s="50" t="str">
        <f t="shared" ref="AB30:AB32" si="12">AB7</f>
        <v>School Uniform(Boys)</v>
      </c>
      <c r="AC30" s="23">
        <f>pricing_chart!T37/pricing_chart!U37</f>
        <v>0.6</v>
      </c>
      <c r="AD30" s="25">
        <f>pricing_chart!U37</f>
        <v>275</v>
      </c>
      <c r="AE30" s="20">
        <f>pricing_chart!S37/(1-analysis!$AE$26)</f>
        <v>275</v>
      </c>
      <c r="AF30" s="33">
        <f>IF(AE30&lt;AD30,0,AE30-AD30)</f>
        <v>0</v>
      </c>
      <c r="AH30" s="19" t="str">
        <f t="shared" ref="AH30:AH32" si="13">AH7</f>
        <v>School Uniform(Boys)</v>
      </c>
      <c r="AI30" s="23">
        <f>pricing_chart!V37/pricing_chart!W37</f>
        <v>0.73365617433414043</v>
      </c>
      <c r="AJ30" s="25">
        <f>pricing_chart!W37</f>
        <v>413</v>
      </c>
      <c r="AK30" s="20">
        <f>(pricing_chart!S37/(1-analysis!$AK$26))</f>
        <v>244.44444444444446</v>
      </c>
      <c r="AL30" s="33">
        <f>IF(AK30&lt;AJ30,0,AK30-AJ30)</f>
        <v>0</v>
      </c>
    </row>
    <row r="31" spans="3:38" s="63" customFormat="1" ht="13.8" x14ac:dyDescent="0.25">
      <c r="C31" s="59" t="str">
        <f t="shared" si="7"/>
        <v>Kurti sets</v>
      </c>
      <c r="D31" s="79">
        <f>pricing_chart!D38/pricing_chart!E38</f>
        <v>0.62318840579710144</v>
      </c>
      <c r="E31" s="25">
        <f>pricing_chart!E38</f>
        <v>345</v>
      </c>
      <c r="F31" s="20">
        <f>pricing_chart!C38/(1-analysis!$F$26)</f>
        <v>260</v>
      </c>
      <c r="G31" s="33">
        <f t="shared" si="8"/>
        <v>0</v>
      </c>
      <c r="I31" s="56" t="str">
        <f t="shared" si="9"/>
        <v>Kurti sets</v>
      </c>
      <c r="J31" s="79">
        <f>pricing_chart!F38/pricing_chart!G38</f>
        <v>0.70561594202898548</v>
      </c>
      <c r="K31" s="25">
        <f>pricing_chart!G38</f>
        <v>441.6</v>
      </c>
      <c r="L31" s="20">
        <f>pricing_chart!C38/(1-analysis!$L$26)</f>
        <v>260</v>
      </c>
      <c r="M31" s="33">
        <f t="shared" si="4"/>
        <v>0</v>
      </c>
      <c r="O31" s="47" t="str">
        <f t="shared" si="10"/>
        <v>Vest</v>
      </c>
      <c r="P31" s="23">
        <f>pricing_chart!L38/pricing_chart!M38</f>
        <v>0.45652173913043476</v>
      </c>
      <c r="Q31" s="25">
        <f>pricing_chart!M38</f>
        <v>92</v>
      </c>
      <c r="R31" s="20">
        <f>pricing_chart!K38/(1-analysis!$R$26)</f>
        <v>100</v>
      </c>
      <c r="S31" s="33">
        <f t="shared" si="5"/>
        <v>8</v>
      </c>
      <c r="U31" s="47" t="str">
        <f t="shared" si="11"/>
        <v>Vest</v>
      </c>
      <c r="V31" s="23">
        <f>pricing_chart!N38/pricing_chart!O38</f>
        <v>0.5495495495495496</v>
      </c>
      <c r="W31" s="25">
        <f>pricing_chart!O38</f>
        <v>111</v>
      </c>
      <c r="X31" s="20">
        <f>pricing_chart!K38/(1-analysis!$X$26)</f>
        <v>111.11111111111113</v>
      </c>
      <c r="Y31" s="33">
        <f t="shared" si="6"/>
        <v>0.11111111111112848</v>
      </c>
      <c r="AB31" s="51" t="str">
        <f t="shared" si="12"/>
        <v>Uniform - Men</v>
      </c>
      <c r="AC31" s="23">
        <f>pricing_chart!T38/pricing_chart!U38</f>
        <v>0.5157384987893463</v>
      </c>
      <c r="AD31" s="25">
        <f>pricing_chart!U38</f>
        <v>413</v>
      </c>
      <c r="AE31" s="20">
        <f>pricing_chart!S38/(1-analysis!$AE$26)</f>
        <v>500</v>
      </c>
      <c r="AF31" s="33">
        <f>IF(AE31&lt;AD31,0,AE31-AD31)</f>
        <v>87</v>
      </c>
      <c r="AH31" s="19" t="str">
        <f t="shared" si="13"/>
        <v>Uniform - Men</v>
      </c>
      <c r="AI31" s="23">
        <f>pricing_chart!V38/pricing_chart!W38</f>
        <v>0.68</v>
      </c>
      <c r="AJ31" s="25">
        <f>pricing_chart!W38</f>
        <v>625</v>
      </c>
      <c r="AK31" s="20">
        <f>(pricing_chart!S38/(1-analysis!$AK$26))</f>
        <v>444.44444444444451</v>
      </c>
      <c r="AL31" s="33">
        <f>IF(AK31&lt;AJ31,0,AK31-AJ31)</f>
        <v>0</v>
      </c>
    </row>
    <row r="32" spans="3:38" s="63" customFormat="1" ht="28.2" thickBot="1" x14ac:dyDescent="0.3">
      <c r="C32" s="59" t="str">
        <f t="shared" si="7"/>
        <v>Salwar / Anarkali suits</v>
      </c>
      <c r="D32" s="79">
        <f>pricing_chart!D39/pricing_chart!E39</f>
        <v>0.65583173996175903</v>
      </c>
      <c r="E32" s="25">
        <f>pricing_chart!E39</f>
        <v>523</v>
      </c>
      <c r="F32" s="20">
        <f>pricing_chart!C39/(1-analysis!$F$26)</f>
        <v>360</v>
      </c>
      <c r="G32" s="33">
        <f t="shared" si="8"/>
        <v>0</v>
      </c>
      <c r="I32" s="56" t="str">
        <f t="shared" si="9"/>
        <v>Salwar / Anarkali suits</v>
      </c>
      <c r="J32" s="79">
        <f>pricing_chart!F39/pricing_chart!G39</f>
        <v>0.68443197755960727</v>
      </c>
      <c r="K32" s="25">
        <f>pricing_chart!G39</f>
        <v>570.4</v>
      </c>
      <c r="L32" s="20">
        <f>pricing_chart!C39/(1-analysis!$L$26)</f>
        <v>360</v>
      </c>
      <c r="M32" s="33">
        <f t="shared" si="4"/>
        <v>0</v>
      </c>
      <c r="O32" s="47" t="str">
        <f t="shared" si="10"/>
        <v>Dhoti</v>
      </c>
      <c r="P32" s="23">
        <f>pricing_chart!L39/pricing_chart!M39</f>
        <v>0.45652173913043476</v>
      </c>
      <c r="Q32" s="25">
        <f>pricing_chart!M39</f>
        <v>92</v>
      </c>
      <c r="R32" s="20">
        <f>pricing_chart!K39/(1-analysis!$R$26)</f>
        <v>100</v>
      </c>
      <c r="S32" s="33">
        <f t="shared" si="5"/>
        <v>8</v>
      </c>
      <c r="U32" s="47" t="str">
        <f t="shared" si="11"/>
        <v>Dhoti</v>
      </c>
      <c r="V32" s="23">
        <f>pricing_chart!N39/pricing_chart!O39</f>
        <v>0.5495495495495496</v>
      </c>
      <c r="W32" s="25">
        <f>pricing_chart!O39</f>
        <v>111</v>
      </c>
      <c r="X32" s="20">
        <f>pricing_chart!K39/(1-analysis!$X$26)</f>
        <v>111.11111111111113</v>
      </c>
      <c r="Y32" s="33">
        <f t="shared" si="6"/>
        <v>0.11111111111112848</v>
      </c>
      <c r="AB32" s="52" t="str">
        <f t="shared" si="12"/>
        <v>Uniform - Women</v>
      </c>
      <c r="AC32" s="28">
        <f>pricing_chart!T39/pricing_chart!U39</f>
        <v>0.50953678474114439</v>
      </c>
      <c r="AD32" s="26">
        <f>pricing_chart!U39</f>
        <v>367</v>
      </c>
      <c r="AE32" s="27">
        <f>pricing_chart!S39/(1-analysis!$AE$26)</f>
        <v>450</v>
      </c>
      <c r="AF32" s="34">
        <f>IF(AE32&lt;AD32,0,AE32-AD32)</f>
        <v>83</v>
      </c>
      <c r="AH32" s="54" t="str">
        <f t="shared" si="13"/>
        <v>Uniform - Women</v>
      </c>
      <c r="AI32" s="28">
        <f>pricing_chart!V39/pricing_chart!W39</f>
        <v>0.67332123411978217</v>
      </c>
      <c r="AJ32" s="26">
        <f>pricing_chart!W39</f>
        <v>551</v>
      </c>
      <c r="AK32" s="27">
        <f>(pricing_chart!S39/(1-analysis!$AK$26))</f>
        <v>400.00000000000006</v>
      </c>
      <c r="AL32" s="34">
        <f>IF(AK32&lt;AJ32,0,AK32-AJ32)</f>
        <v>0</v>
      </c>
    </row>
    <row r="33" spans="3:37" s="63" customFormat="1" ht="13.8" x14ac:dyDescent="0.25">
      <c r="C33" s="59" t="str">
        <f t="shared" si="7"/>
        <v>Co-Ords / Fusions</v>
      </c>
      <c r="D33" s="79">
        <f>pricing_chart!D40/pricing_chart!E40</f>
        <v>0.55307262569832405</v>
      </c>
      <c r="E33" s="25">
        <f>pricing_chart!E40</f>
        <v>358</v>
      </c>
      <c r="F33" s="20">
        <f>pricing_chart!C40/(1-analysis!$F$26)</f>
        <v>320</v>
      </c>
      <c r="G33" s="33">
        <f t="shared" si="8"/>
        <v>0</v>
      </c>
      <c r="I33" s="56" t="str">
        <f t="shared" si="9"/>
        <v>Co-Ords / Fusions</v>
      </c>
      <c r="J33" s="79">
        <f>pricing_chart!F40/pricing_chart!G40</f>
        <v>0.6399315870015303</v>
      </c>
      <c r="K33" s="25">
        <f>pricing_chart!G40</f>
        <v>444.36</v>
      </c>
      <c r="L33" s="20">
        <f>pricing_chart!C40/(1-analysis!$L$26)</f>
        <v>320</v>
      </c>
      <c r="M33" s="33">
        <f t="shared" si="4"/>
        <v>0</v>
      </c>
      <c r="O33" s="47" t="str">
        <f t="shared" si="10"/>
        <v>Kurta (Basic)</v>
      </c>
      <c r="P33" s="23">
        <f>pricing_chart!L40/pricing_chart!M40</f>
        <v>0.53307392996108949</v>
      </c>
      <c r="Q33" s="25">
        <f>pricing_chart!M40</f>
        <v>257</v>
      </c>
      <c r="R33" s="20">
        <f>pricing_chart!K40/(1-analysis!$R$26)</f>
        <v>240</v>
      </c>
      <c r="S33" s="33">
        <f t="shared" si="5"/>
        <v>0</v>
      </c>
      <c r="U33" s="47" t="str">
        <f t="shared" si="11"/>
        <v>Kurta (Basic)</v>
      </c>
      <c r="V33" s="23">
        <f>pricing_chart!N40/pricing_chart!O40</f>
        <v>0.550561797752809</v>
      </c>
      <c r="W33" s="25">
        <f>pricing_chart!O40</f>
        <v>267</v>
      </c>
      <c r="X33" s="20">
        <f>pricing_chart!K40/(1-analysis!$X$26)</f>
        <v>266.66666666666669</v>
      </c>
      <c r="Y33" s="33">
        <f t="shared" si="6"/>
        <v>0</v>
      </c>
    </row>
    <row r="34" spans="3:37" s="63" customFormat="1" ht="13.8" x14ac:dyDescent="0.25">
      <c r="C34" s="59" t="str">
        <f t="shared" si="7"/>
        <v>Leggings / Inskirts</v>
      </c>
      <c r="D34" s="79">
        <f>pricing_chart!D41/pricing_chart!E41</f>
        <v>0.62184873949579833</v>
      </c>
      <c r="E34" s="25">
        <f>pricing_chart!E41</f>
        <v>119</v>
      </c>
      <c r="F34" s="20">
        <f>pricing_chart!C41/(1-analysis!$F$26)</f>
        <v>90</v>
      </c>
      <c r="G34" s="33">
        <f t="shared" si="8"/>
        <v>0</v>
      </c>
      <c r="I34" s="56" t="str">
        <f t="shared" si="9"/>
        <v>Leggings / Inskirts</v>
      </c>
      <c r="J34" s="79">
        <f>pricing_chart!F41/pricing_chart!G41</f>
        <v>0.75171043919664537</v>
      </c>
      <c r="K34" s="25">
        <f>pricing_chart!G41</f>
        <v>181.24</v>
      </c>
      <c r="L34" s="20">
        <f>pricing_chart!C41/(1-analysis!$L$26)</f>
        <v>90</v>
      </c>
      <c r="M34" s="33">
        <f t="shared" si="4"/>
        <v>0</v>
      </c>
      <c r="O34" s="47" t="str">
        <f t="shared" si="10"/>
        <v>Kurta (Premium)</v>
      </c>
      <c r="P34" s="23">
        <f>pricing_chart!L41/pricing_chart!M41</f>
        <v>0.66824644549763035</v>
      </c>
      <c r="Q34" s="25">
        <f>pricing_chart!M41</f>
        <v>422</v>
      </c>
      <c r="R34" s="20">
        <f>pricing_chart!K41/(1-analysis!$R$26)</f>
        <v>280</v>
      </c>
      <c r="S34" s="33">
        <f t="shared" si="5"/>
        <v>0</v>
      </c>
      <c r="U34" s="47" t="str">
        <f t="shared" si="11"/>
        <v>Kurta (Premium)</v>
      </c>
      <c r="V34" s="23">
        <f>pricing_chart!N41/pricing_chart!O41</f>
        <v>0.54983922829581988</v>
      </c>
      <c r="W34" s="25">
        <f>pricing_chart!O41</f>
        <v>311</v>
      </c>
      <c r="X34" s="20">
        <f>pricing_chart!K41/(1-analysis!$X$26)</f>
        <v>311.11111111111114</v>
      </c>
      <c r="Y34" s="33">
        <f t="shared" si="6"/>
        <v>0.11111111111114269</v>
      </c>
    </row>
    <row r="35" spans="3:37" s="63" customFormat="1" ht="13.8" x14ac:dyDescent="0.25">
      <c r="C35" s="59" t="str">
        <f t="shared" si="7"/>
        <v>Skirt</v>
      </c>
      <c r="D35" s="79">
        <f>pricing_chart!D42/pricing_chart!E42</f>
        <v>0.5977011494252874</v>
      </c>
      <c r="E35" s="25">
        <f>pricing_chart!E42</f>
        <v>174</v>
      </c>
      <c r="F35" s="20">
        <f>pricing_chart!C42/(1-analysis!$F$26)</f>
        <v>140</v>
      </c>
      <c r="G35" s="33">
        <f t="shared" si="8"/>
        <v>0</v>
      </c>
      <c r="I35" s="56" t="str">
        <f t="shared" si="9"/>
        <v>Skirt</v>
      </c>
      <c r="J35" s="79">
        <f>pricing_chart!F42/pricing_chart!G42</f>
        <v>0.74552857350588919</v>
      </c>
      <c r="K35" s="25">
        <f>pricing_chart!G42</f>
        <v>275.08</v>
      </c>
      <c r="L35" s="20">
        <f>pricing_chart!C42/(1-analysis!$L$26)</f>
        <v>140</v>
      </c>
      <c r="M35" s="33">
        <f t="shared" si="4"/>
        <v>0</v>
      </c>
      <c r="O35" s="47" t="str">
        <f t="shared" si="10"/>
        <v>Sherwani (Basic)</v>
      </c>
      <c r="P35" s="23">
        <f>pricing_chart!L42/pricing_chart!M42</f>
        <v>0.59211420802175396</v>
      </c>
      <c r="Q35" s="25">
        <f>pricing_chart!M42</f>
        <v>1471</v>
      </c>
      <c r="R35" s="20">
        <f>pricing_chart!K42/(1-analysis!$R$26)</f>
        <v>1200</v>
      </c>
      <c r="S35" s="33">
        <f t="shared" si="5"/>
        <v>0</v>
      </c>
      <c r="U35" s="47" t="str">
        <f t="shared" si="11"/>
        <v>Sherwani (Basic)</v>
      </c>
      <c r="V35" s="23">
        <f>pricing_chart!N42/pricing_chart!O42</f>
        <v>0.54988747186796694</v>
      </c>
      <c r="W35" s="25">
        <f>pricing_chart!O42</f>
        <v>1333</v>
      </c>
      <c r="X35" s="20">
        <f>pricing_chart!K42/(1-analysis!$X$26)</f>
        <v>1333.3333333333335</v>
      </c>
      <c r="Y35" s="33">
        <f t="shared" si="6"/>
        <v>0.33333333333348492</v>
      </c>
    </row>
    <row r="36" spans="3:37" s="63" customFormat="1" ht="13.8" x14ac:dyDescent="0.25">
      <c r="C36" s="59" t="str">
        <f t="shared" si="7"/>
        <v>Blouse</v>
      </c>
      <c r="D36" s="79">
        <f>pricing_chart!D43/pricing_chart!E43</f>
        <v>0.56521739130434778</v>
      </c>
      <c r="E36" s="25">
        <f>pricing_chart!E43</f>
        <v>230</v>
      </c>
      <c r="F36" s="20">
        <f>pricing_chart!C43/(1-analysis!$F$26)</f>
        <v>200</v>
      </c>
      <c r="G36" s="33">
        <f t="shared" si="8"/>
        <v>0</v>
      </c>
      <c r="I36" s="56" t="str">
        <f t="shared" si="9"/>
        <v>Blouse</v>
      </c>
      <c r="J36" s="79">
        <f>pricing_chart!F43/pricing_chart!G43</f>
        <v>0.64936886395511917</v>
      </c>
      <c r="K36" s="25">
        <f>pricing_chart!G43</f>
        <v>285.2</v>
      </c>
      <c r="L36" s="20">
        <f>pricing_chart!C43/(1-analysis!$L$26)</f>
        <v>200</v>
      </c>
      <c r="M36" s="33">
        <f t="shared" si="4"/>
        <v>0</v>
      </c>
      <c r="O36" s="47" t="str">
        <f t="shared" si="10"/>
        <v>Sherwani (Premium)</v>
      </c>
      <c r="P36" s="23">
        <f>pricing_chart!L43/pricing_chart!M43</f>
        <v>0.66356107660455488</v>
      </c>
      <c r="Q36" s="25">
        <f>pricing_chart!M43</f>
        <v>1932</v>
      </c>
      <c r="R36" s="20">
        <f>pricing_chart!K43/(1-analysis!$R$26)</f>
        <v>1300</v>
      </c>
      <c r="S36" s="33">
        <f t="shared" si="5"/>
        <v>0</v>
      </c>
      <c r="U36" s="47" t="str">
        <f t="shared" si="11"/>
        <v>Sherwani (Premium)</v>
      </c>
      <c r="V36" s="23">
        <f>pricing_chart!N43/pricing_chart!O43</f>
        <v>0.54986149584487531</v>
      </c>
      <c r="W36" s="25">
        <f>pricing_chart!O43</f>
        <v>1444</v>
      </c>
      <c r="X36" s="20">
        <f>pricing_chart!K43/(1-analysis!$X$26)</f>
        <v>1444.4444444444446</v>
      </c>
      <c r="Y36" s="33">
        <f t="shared" si="6"/>
        <v>0.44444444444457076</v>
      </c>
    </row>
    <row r="37" spans="3:37" s="63" customFormat="1" ht="13.8" x14ac:dyDescent="0.25">
      <c r="C37" s="59" t="str">
        <f t="shared" si="7"/>
        <v>Designer / Blouse</v>
      </c>
      <c r="D37" s="79">
        <f>pricing_chart!D44/pricing_chart!E44</f>
        <v>0.51690821256038644</v>
      </c>
      <c r="E37" s="25">
        <f>pricing_chart!E44</f>
        <v>414</v>
      </c>
      <c r="F37" s="20">
        <f>pricing_chart!C44/(1-analysis!$F$26)</f>
        <v>400</v>
      </c>
      <c r="G37" s="33">
        <f t="shared" si="8"/>
        <v>0</v>
      </c>
      <c r="I37" s="56" t="str">
        <f t="shared" si="9"/>
        <v>Designer / Blouse</v>
      </c>
      <c r="J37" s="79">
        <f>pricing_chart!F44/pricing_chart!G44</f>
        <v>0.61794146863299459</v>
      </c>
      <c r="K37" s="25">
        <f>pricing_chart!G44</f>
        <v>523.48</v>
      </c>
      <c r="L37" s="20">
        <f>pricing_chart!C44/(1-analysis!$L$26)</f>
        <v>400</v>
      </c>
      <c r="M37" s="33">
        <f t="shared" si="4"/>
        <v>0</v>
      </c>
      <c r="O37" s="47" t="str">
        <f t="shared" si="10"/>
        <v>Pant (Basic)</v>
      </c>
      <c r="P37" s="23">
        <f>pricing_chart!L44/pricing_chart!M44</f>
        <v>0.62857142857142856</v>
      </c>
      <c r="Q37" s="25">
        <f>pricing_chart!M44</f>
        <v>350</v>
      </c>
      <c r="R37" s="20">
        <f>pricing_chart!K44/(1-analysis!$R$26)</f>
        <v>260</v>
      </c>
      <c r="S37" s="33">
        <f t="shared" si="5"/>
        <v>0</v>
      </c>
      <c r="U37" s="47" t="str">
        <f t="shared" si="11"/>
        <v>Pant (Basic)</v>
      </c>
      <c r="V37" s="23">
        <f>pricing_chart!N44/pricing_chart!O44</f>
        <v>0.55017301038062283</v>
      </c>
      <c r="W37" s="25">
        <f>pricing_chart!O44</f>
        <v>289</v>
      </c>
      <c r="X37" s="20">
        <f>pricing_chart!K44/(1-analysis!$X$26)</f>
        <v>288.88888888888891</v>
      </c>
      <c r="Y37" s="33">
        <f t="shared" si="6"/>
        <v>0</v>
      </c>
    </row>
    <row r="38" spans="3:37" s="63" customFormat="1" ht="13.8" x14ac:dyDescent="0.25">
      <c r="C38" s="59" t="str">
        <f t="shared" si="7"/>
        <v>Innerwears</v>
      </c>
      <c r="D38" s="79">
        <f>pricing_chart!D45/pricing_chart!E45</f>
        <v>0.58549222797927458</v>
      </c>
      <c r="E38" s="25">
        <f>pricing_chart!E45</f>
        <v>193</v>
      </c>
      <c r="F38" s="20">
        <f>pricing_chart!C45/(1-analysis!$F$26)</f>
        <v>160</v>
      </c>
      <c r="G38" s="33">
        <f t="shared" si="8"/>
        <v>0</v>
      </c>
      <c r="I38" s="56" t="str">
        <f t="shared" si="9"/>
        <v>Innerwears</v>
      </c>
      <c r="J38" s="79">
        <f>pricing_chart!F45/pricing_chart!G45</f>
        <v>0.68030690537084404</v>
      </c>
      <c r="K38" s="25">
        <f>pricing_chart!G45</f>
        <v>250.24</v>
      </c>
      <c r="L38" s="20">
        <f>pricing_chart!C45/(1-analysis!$L$26)</f>
        <v>160</v>
      </c>
      <c r="M38" s="33">
        <f t="shared" si="4"/>
        <v>0</v>
      </c>
      <c r="O38" s="47" t="str">
        <f t="shared" si="10"/>
        <v>Pant (Premium)</v>
      </c>
      <c r="P38" s="23">
        <f>pricing_chart!L45/pricing_chart!M45</f>
        <v>0.68599033816425126</v>
      </c>
      <c r="Q38" s="25">
        <f>pricing_chart!M45</f>
        <v>414</v>
      </c>
      <c r="R38" s="20">
        <f>pricing_chart!K45/(1-analysis!$R$26)</f>
        <v>260</v>
      </c>
      <c r="S38" s="33">
        <f t="shared" si="5"/>
        <v>0</v>
      </c>
      <c r="U38" s="47" t="str">
        <f t="shared" si="11"/>
        <v>Pant (Premium)</v>
      </c>
      <c r="V38" s="23">
        <f>pricing_chart!N45/pricing_chart!O45</f>
        <v>0.55017301038062283</v>
      </c>
      <c r="W38" s="25">
        <f>pricing_chart!O45</f>
        <v>289</v>
      </c>
      <c r="X38" s="20">
        <f>pricing_chart!K45/(1-analysis!$X$26)</f>
        <v>288.88888888888891</v>
      </c>
      <c r="Y38" s="33">
        <f t="shared" si="6"/>
        <v>0</v>
      </c>
    </row>
    <row r="39" spans="3:37" s="63" customFormat="1" ht="13.8" x14ac:dyDescent="0.25">
      <c r="C39" s="59" t="str">
        <f t="shared" si="7"/>
        <v>T-shirts</v>
      </c>
      <c r="D39" s="79">
        <f>pricing_chart!D46/pricing_chart!E46</f>
        <v>0.54838709677419351</v>
      </c>
      <c r="E39" s="25">
        <f>pricing_chart!E46</f>
        <v>155</v>
      </c>
      <c r="F39" s="20">
        <f>pricing_chart!C46/(1-analysis!$F$26)</f>
        <v>140</v>
      </c>
      <c r="G39" s="33">
        <f t="shared" si="8"/>
        <v>0</v>
      </c>
      <c r="I39" s="56" t="str">
        <f t="shared" si="9"/>
        <v>T-shirts</v>
      </c>
      <c r="J39" s="79">
        <f>pricing_chart!F46/pricing_chart!G46</f>
        <v>0.65257097478657933</v>
      </c>
      <c r="K39" s="25">
        <f>pricing_chart!G46</f>
        <v>201.48000000000002</v>
      </c>
      <c r="L39" s="20">
        <f>pricing_chart!C46/(1-analysis!$L$26)</f>
        <v>140</v>
      </c>
      <c r="M39" s="33">
        <f t="shared" si="4"/>
        <v>0</v>
      </c>
      <c r="O39" s="47" t="str">
        <f t="shared" si="10"/>
        <v>Shot / Trousers (Basic)</v>
      </c>
      <c r="P39" s="23">
        <f>pricing_chart!L46/pricing_chart!M46</f>
        <v>0.50819672131147542</v>
      </c>
      <c r="Q39" s="25">
        <f>pricing_chart!M46</f>
        <v>183</v>
      </c>
      <c r="R39" s="20">
        <f>pricing_chart!K46/(1-analysis!$R$26)</f>
        <v>180</v>
      </c>
      <c r="S39" s="33">
        <f t="shared" si="5"/>
        <v>0</v>
      </c>
      <c r="U39" s="47" t="str">
        <f t="shared" si="11"/>
        <v>Shot / Trousers (Basic)</v>
      </c>
      <c r="V39" s="23">
        <f>pricing_chart!N46/pricing_chart!O46</f>
        <v>0.55000000000000004</v>
      </c>
      <c r="W39" s="25">
        <f>pricing_chart!O46</f>
        <v>200</v>
      </c>
      <c r="X39" s="20">
        <f>pricing_chart!K46/(1-analysis!$X$26)</f>
        <v>200.00000000000003</v>
      </c>
      <c r="Y39" s="33">
        <f t="shared" si="6"/>
        <v>2.8421709430404007E-14</v>
      </c>
    </row>
    <row r="40" spans="3:37" s="63" customFormat="1" ht="14.4" thickBot="1" x14ac:dyDescent="0.3">
      <c r="C40" s="59" t="str">
        <f t="shared" si="7"/>
        <v>Shots</v>
      </c>
      <c r="D40" s="79">
        <f>pricing_chart!D47/pricing_chart!E47</f>
        <v>0.47368421052631576</v>
      </c>
      <c r="E40" s="25">
        <f>pricing_chart!E47</f>
        <v>152</v>
      </c>
      <c r="F40" s="20">
        <f>pricing_chart!C47/(1-analysis!$F$26)</f>
        <v>160</v>
      </c>
      <c r="G40" s="33">
        <f t="shared" si="8"/>
        <v>8</v>
      </c>
      <c r="I40" s="56" t="str">
        <f t="shared" si="9"/>
        <v>Shots</v>
      </c>
      <c r="J40" s="79">
        <f>pricing_chart!F47/pricing_chart!G47</f>
        <v>0.6507770211279903</v>
      </c>
      <c r="K40" s="25">
        <f>pricing_chart!G47</f>
        <v>229.08</v>
      </c>
      <c r="L40" s="20">
        <f>pricing_chart!C47/(1-analysis!$L$26)</f>
        <v>160</v>
      </c>
      <c r="M40" s="33">
        <f t="shared" si="4"/>
        <v>0</v>
      </c>
      <c r="O40" s="48" t="str">
        <f t="shared" si="10"/>
        <v>Shot / Trousers (Premium)</v>
      </c>
      <c r="P40" s="28">
        <f>pricing_chart!L47/pricing_chart!M47</f>
        <v>0.53703703703703709</v>
      </c>
      <c r="Q40" s="26">
        <f>pricing_chart!M47</f>
        <v>216</v>
      </c>
      <c r="R40" s="27">
        <f>pricing_chart!K47/(1-analysis!$R$26)</f>
        <v>200</v>
      </c>
      <c r="S40" s="34">
        <f t="shared" si="5"/>
        <v>0</v>
      </c>
      <c r="U40" s="48" t="str">
        <f t="shared" si="11"/>
        <v>Shot / Trousers (Premium)</v>
      </c>
      <c r="V40" s="28">
        <f>pricing_chart!N47/pricing_chart!O47</f>
        <v>0.5495495495495496</v>
      </c>
      <c r="W40" s="26">
        <f>pricing_chart!O47</f>
        <v>222</v>
      </c>
      <c r="X40" s="27">
        <f>pricing_chart!K47/(1-analysis!$X$26)</f>
        <v>222.22222222222226</v>
      </c>
      <c r="Y40" s="34">
        <f t="shared" si="6"/>
        <v>0.22222222222225696</v>
      </c>
    </row>
    <row r="41" spans="3:37" s="63" customFormat="1" ht="13.8" x14ac:dyDescent="0.25">
      <c r="C41" s="59" t="str">
        <f t="shared" si="7"/>
        <v>Trousers / Track pants</v>
      </c>
      <c r="D41" s="79">
        <f>pricing_chart!D48/pricing_chart!E48</f>
        <v>0.52830188679245282</v>
      </c>
      <c r="E41" s="25">
        <f>pricing_chart!E48</f>
        <v>212</v>
      </c>
      <c r="F41" s="20">
        <f>pricing_chart!C48/(1-analysis!$F$26)</f>
        <v>200</v>
      </c>
      <c r="G41" s="33">
        <f t="shared" si="8"/>
        <v>0</v>
      </c>
      <c r="I41" s="56" t="str">
        <f t="shared" si="9"/>
        <v>Trousers / Track pants</v>
      </c>
      <c r="J41" s="79">
        <f>pricing_chart!F48/pricing_chart!G48</f>
        <v>0.64244851258581237</v>
      </c>
      <c r="K41" s="25">
        <f>pricing_chart!G48</f>
        <v>279.68</v>
      </c>
      <c r="L41" s="20">
        <f>pricing_chart!C48/(1-analysis!$L$26)</f>
        <v>200</v>
      </c>
      <c r="M41" s="33">
        <f t="shared" si="4"/>
        <v>0</v>
      </c>
    </row>
    <row r="42" spans="3:37" s="63" customFormat="1" ht="13.8" x14ac:dyDescent="0.25">
      <c r="C42" s="59" t="str">
        <f t="shared" si="7"/>
        <v>Formal Shirts &amp; Pants set</v>
      </c>
      <c r="D42" s="79">
        <f>pricing_chart!D49/pricing_chart!E49</f>
        <v>0.46308724832214765</v>
      </c>
      <c r="E42" s="25">
        <f>pricing_chart!E49</f>
        <v>745</v>
      </c>
      <c r="F42" s="20">
        <f>pricing_chart!C49/(1-analysis!$F$26)</f>
        <v>800</v>
      </c>
      <c r="G42" s="33">
        <f t="shared" si="8"/>
        <v>55</v>
      </c>
      <c r="I42" s="56" t="str">
        <f t="shared" si="9"/>
        <v>Formal Shirts &amp; Pants set</v>
      </c>
      <c r="J42" s="79">
        <f>pricing_chart!F49/pricing_chart!G49</f>
        <v>0.56521739130434778</v>
      </c>
      <c r="K42" s="25">
        <f>pricing_chart!G49</f>
        <v>920</v>
      </c>
      <c r="L42" s="20">
        <f>pricing_chart!C49/(1-analysis!$L$26)</f>
        <v>800</v>
      </c>
      <c r="M42" s="33">
        <f t="shared" si="4"/>
        <v>0</v>
      </c>
    </row>
    <row r="43" spans="3:37" s="63" customFormat="1" ht="13.8" x14ac:dyDescent="0.25">
      <c r="C43" s="59" t="str">
        <f t="shared" si="7"/>
        <v>Nightwear / Loungewear</v>
      </c>
      <c r="D43" s="79">
        <f>pricing_chart!D50/pricing_chart!E50</f>
        <v>0.59514170040485825</v>
      </c>
      <c r="E43" s="25">
        <f>pricing_chart!E50</f>
        <v>247</v>
      </c>
      <c r="F43" s="20">
        <f>pricing_chart!C50/(1-analysis!$F$26)</f>
        <v>200</v>
      </c>
      <c r="G43" s="33">
        <f t="shared" si="8"/>
        <v>0</v>
      </c>
      <c r="I43" s="56" t="str">
        <f t="shared" si="9"/>
        <v>Nightwear / Loungewear</v>
      </c>
      <c r="J43" s="79">
        <f>pricing_chart!F50/pricing_chart!G50</f>
        <v>0.72757981911299996</v>
      </c>
      <c r="K43" s="25">
        <f>pricing_chart!G50</f>
        <v>367.08000000000004</v>
      </c>
      <c r="L43" s="20">
        <f>pricing_chart!C50/(1-analysis!$L$26)</f>
        <v>200</v>
      </c>
      <c r="M43" s="33">
        <f t="shared" si="4"/>
        <v>0</v>
      </c>
    </row>
    <row r="44" spans="3:37" s="63" customFormat="1" ht="13.8" x14ac:dyDescent="0.25">
      <c r="C44" s="59" t="str">
        <f t="shared" si="7"/>
        <v xml:space="preserve">Lehanga Set </v>
      </c>
      <c r="D44" s="79">
        <f>pricing_chart!D51/pricing_chart!E51</f>
        <v>0.45652173913043476</v>
      </c>
      <c r="E44" s="25">
        <f>pricing_chart!E51</f>
        <v>920</v>
      </c>
      <c r="F44" s="20">
        <f>pricing_chart!C51/(1-analysis!$F$26)</f>
        <v>1000</v>
      </c>
      <c r="G44" s="33">
        <f t="shared" si="8"/>
        <v>80</v>
      </c>
      <c r="I44" s="56" t="str">
        <f t="shared" si="9"/>
        <v xml:space="preserve">Lehanga Set </v>
      </c>
      <c r="J44" s="79">
        <f>pricing_chart!F51/pricing_chart!G51</f>
        <v>0.58161796699802526</v>
      </c>
      <c r="K44" s="25">
        <f>pricing_chart!G51</f>
        <v>1195.0800000000002</v>
      </c>
      <c r="L44" s="20">
        <f>pricing_chart!C51/(1-analysis!$L$26)</f>
        <v>1000</v>
      </c>
      <c r="M44" s="33">
        <f t="shared" si="4"/>
        <v>0</v>
      </c>
    </row>
    <row r="45" spans="3:37" s="63" customFormat="1" ht="14.4" thickBot="1" x14ac:dyDescent="0.3">
      <c r="C45" s="60" t="str">
        <f t="shared" si="7"/>
        <v>Half Saree</v>
      </c>
      <c r="D45" s="80">
        <f>pricing_chart!D52/pricing_chart!E52</f>
        <v>0.57678355501813783</v>
      </c>
      <c r="E45" s="26">
        <f>pricing_chart!E52</f>
        <v>827</v>
      </c>
      <c r="F45" s="27">
        <f>pricing_chart!C52/(1-analysis!$F$26)</f>
        <v>700</v>
      </c>
      <c r="G45" s="34">
        <f t="shared" si="8"/>
        <v>0</v>
      </c>
      <c r="I45" s="57" t="str">
        <f t="shared" si="9"/>
        <v>Half Saree</v>
      </c>
      <c r="J45" s="80">
        <f>pricing_chart!F52/pricing_chart!G52</f>
        <v>0.61918440179309742</v>
      </c>
      <c r="K45" s="26">
        <f>pricing_chart!G52</f>
        <v>919.08</v>
      </c>
      <c r="L45" s="27">
        <f>pricing_chart!C52/(1-analysis!$L$26)</f>
        <v>700</v>
      </c>
      <c r="M45" s="34">
        <f t="shared" si="4"/>
        <v>0</v>
      </c>
    </row>
    <row r="47" spans="3:37" ht="13.8" thickBot="1" x14ac:dyDescent="0.3"/>
    <row r="48" spans="3:37" s="63" customFormat="1" x14ac:dyDescent="0.25">
      <c r="F48" s="37" t="s">
        <v>56</v>
      </c>
      <c r="L48" s="37" t="s">
        <v>56</v>
      </c>
      <c r="R48" s="37" t="s">
        <v>56</v>
      </c>
      <c r="X48" s="37" t="s">
        <v>56</v>
      </c>
      <c r="AE48" s="37" t="s">
        <v>56</v>
      </c>
      <c r="AK48" s="37" t="s">
        <v>56</v>
      </c>
    </row>
    <row r="49" spans="3:38" s="63" customFormat="1" ht="13.8" thickBot="1" x14ac:dyDescent="0.3">
      <c r="F49" s="36">
        <v>0.5</v>
      </c>
      <c r="L49" s="36">
        <v>0.6</v>
      </c>
      <c r="R49" s="36">
        <v>0.4</v>
      </c>
      <c r="X49" s="36">
        <v>0.5</v>
      </c>
      <c r="AE49" s="36">
        <v>0.4</v>
      </c>
      <c r="AK49" s="36">
        <v>0.5</v>
      </c>
    </row>
    <row r="50" spans="3:38" s="63" customFormat="1" ht="13.8" thickBot="1" x14ac:dyDescent="0.3"/>
    <row r="51" spans="3:38" s="43" customFormat="1" ht="40.200000000000003" thickBot="1" x14ac:dyDescent="0.3">
      <c r="C51" s="45" t="s">
        <v>3</v>
      </c>
      <c r="D51" s="39" t="s">
        <v>53</v>
      </c>
      <c r="E51" s="40" t="s">
        <v>55</v>
      </c>
      <c r="F51" s="41"/>
      <c r="G51" s="42" t="s">
        <v>57</v>
      </c>
      <c r="I51" s="45" t="s">
        <v>3</v>
      </c>
      <c r="J51" s="39" t="s">
        <v>54</v>
      </c>
      <c r="K51" s="40" t="s">
        <v>55</v>
      </c>
      <c r="L51" s="41"/>
      <c r="M51" s="42" t="s">
        <v>57</v>
      </c>
      <c r="N51" s="44"/>
      <c r="O51" s="45" t="s">
        <v>3</v>
      </c>
      <c r="P51" s="39" t="s">
        <v>53</v>
      </c>
      <c r="Q51" s="40" t="s">
        <v>55</v>
      </c>
      <c r="R51" s="41"/>
      <c r="S51" s="42" t="s">
        <v>57</v>
      </c>
      <c r="U51" s="45" t="s">
        <v>3</v>
      </c>
      <c r="V51" s="39" t="s">
        <v>54</v>
      </c>
      <c r="W51" s="40" t="s">
        <v>55</v>
      </c>
      <c r="X51" s="41"/>
      <c r="Y51" s="42" t="s">
        <v>57</v>
      </c>
      <c r="AB51" s="45" t="s">
        <v>3</v>
      </c>
      <c r="AC51" s="39" t="s">
        <v>53</v>
      </c>
      <c r="AD51" s="40" t="s">
        <v>55</v>
      </c>
      <c r="AE51" s="41"/>
      <c r="AF51" s="42" t="s">
        <v>57</v>
      </c>
      <c r="AH51" s="38" t="s">
        <v>3</v>
      </c>
      <c r="AI51" s="39" t="s">
        <v>54</v>
      </c>
      <c r="AJ51" s="40" t="s">
        <v>55</v>
      </c>
      <c r="AK51" s="41"/>
      <c r="AL51" s="42" t="s">
        <v>57</v>
      </c>
    </row>
    <row r="52" spans="3:38" s="63" customFormat="1" ht="27.6" x14ac:dyDescent="0.25">
      <c r="C52" s="58" t="str">
        <f>C29</f>
        <v>Short Kurti</v>
      </c>
      <c r="D52" s="78">
        <f>pricing_chart!D59/pricing_chart!E59</f>
        <v>0.47552447552447552</v>
      </c>
      <c r="E52" s="24">
        <f>pricing_chart!E59</f>
        <v>143</v>
      </c>
      <c r="F52" s="82">
        <f>pricing_chart!C59/(1-analysis!$F$49)</f>
        <v>150</v>
      </c>
      <c r="G52" s="32">
        <f>G55</f>
        <v>0</v>
      </c>
      <c r="I52" s="55" t="str">
        <f>I29</f>
        <v>Short Kurti</v>
      </c>
      <c r="J52" s="78">
        <f>pricing_chart!F59/pricing_chart!G59</f>
        <v>0.64454976303317535</v>
      </c>
      <c r="K52" s="24">
        <f>pricing_chart!G59</f>
        <v>211</v>
      </c>
      <c r="L52" s="21">
        <f>pricing_chart!C59/(1-analysis!$L$49)</f>
        <v>187.5</v>
      </c>
      <c r="M52" s="32">
        <f t="shared" ref="M52:M68" si="14">IF(L52&lt;K52,0,L52-K52)</f>
        <v>0</v>
      </c>
      <c r="N52" s="18"/>
      <c r="O52" s="46" t="str">
        <f>O29</f>
        <v>Shirt</v>
      </c>
      <c r="P52" s="22">
        <f>pricing_chart!L59/pricing_chart!M59</f>
        <v>0.43396226415094341</v>
      </c>
      <c r="Q52" s="30">
        <f>pricing_chart!M59</f>
        <v>212</v>
      </c>
      <c r="R52" s="31">
        <f>pricing_chart!K59/(1-analysis!$R$49)</f>
        <v>200</v>
      </c>
      <c r="S52" s="35">
        <f t="shared" ref="S52:S63" si="15">IF(R52&lt;Q52,0,R52-Q52)</f>
        <v>0</v>
      </c>
      <c r="U52" s="46" t="str">
        <f>U29</f>
        <v>Shirt</v>
      </c>
      <c r="V52" s="22">
        <f>pricing_chart!N59/pricing_chart!O59</f>
        <v>0.51219512195121952</v>
      </c>
      <c r="W52" s="30">
        <f>pricing_chart!O59</f>
        <v>246</v>
      </c>
      <c r="X52" s="31">
        <f>pricing_chart!K59/(1-analysis!$X$49)</f>
        <v>240</v>
      </c>
      <c r="Y52" s="35">
        <f t="shared" ref="Y52:Y63" si="16">IF(X52&lt;W52,0,X52-W52)</f>
        <v>0</v>
      </c>
      <c r="AB52" s="49" t="str">
        <f>AB29</f>
        <v>School Uniform(girls)</v>
      </c>
      <c r="AC52" s="29">
        <f>pricing_chart!T59/pricing_chart!U59</f>
        <v>0.56989247311827962</v>
      </c>
      <c r="AD52" s="24">
        <f>pricing_chart!U59</f>
        <v>279</v>
      </c>
      <c r="AE52" s="21">
        <f>pricing_chart!S59/(1-analysis!$AE$49)</f>
        <v>200</v>
      </c>
      <c r="AF52" s="32">
        <f>IF(AE52&lt;AD52,0,AE52-AD52)</f>
        <v>0</v>
      </c>
      <c r="AH52" s="53" t="str">
        <f>AH29</f>
        <v>School Uniform(girls)</v>
      </c>
      <c r="AI52" s="29">
        <f>pricing_chart!V59/pricing_chart!W59</f>
        <v>0.71563981042654023</v>
      </c>
      <c r="AJ52" s="24">
        <f>pricing_chart!W59</f>
        <v>422</v>
      </c>
      <c r="AK52" s="21">
        <f>(pricing_chart!S59/(1-analysis!$AK$49))</f>
        <v>240</v>
      </c>
      <c r="AL52" s="32">
        <f>IF(AK52&lt;AJ52,0,AK52-AJ52)</f>
        <v>0</v>
      </c>
    </row>
    <row r="53" spans="3:38" s="63" customFormat="1" ht="27.6" x14ac:dyDescent="0.25">
      <c r="C53" s="59" t="str">
        <f t="shared" ref="C53:C68" si="17">C30</f>
        <v>Kurti</v>
      </c>
      <c r="D53" s="79">
        <f>pricing_chart!D60/pricing_chart!E60</f>
        <v>0.51351351351351349</v>
      </c>
      <c r="E53" s="25">
        <f>pricing_chart!E60</f>
        <v>185</v>
      </c>
      <c r="F53" s="20">
        <f>pricing_chart!C60/(1-analysis!$F$49)</f>
        <v>180</v>
      </c>
      <c r="G53" s="33">
        <f t="shared" ref="G53:G68" si="18">IF(F53&lt;E53,0,F53-E53)</f>
        <v>0</v>
      </c>
      <c r="I53" s="56" t="str">
        <f t="shared" ref="I53:I68" si="19">I30</f>
        <v>Kurti</v>
      </c>
      <c r="J53" s="79">
        <f>pricing_chart!F60/pricing_chart!G60</f>
        <v>0.68641114982578399</v>
      </c>
      <c r="K53" s="25">
        <f>pricing_chart!G60</f>
        <v>287</v>
      </c>
      <c r="L53" s="20">
        <f>pricing_chart!C60/(1-analysis!$L$49)</f>
        <v>225</v>
      </c>
      <c r="M53" s="33">
        <f t="shared" si="14"/>
        <v>0</v>
      </c>
      <c r="O53" s="47" t="str">
        <f t="shared" ref="O53:O63" si="20">O30</f>
        <v>T-Shirt</v>
      </c>
      <c r="P53" s="23">
        <f>pricing_chart!L60/pricing_chart!M60</f>
        <v>0.54248366013071891</v>
      </c>
      <c r="Q53" s="25">
        <f>pricing_chart!M60</f>
        <v>153</v>
      </c>
      <c r="R53" s="20">
        <f>pricing_chart!K60/(1-analysis!$R$49)</f>
        <v>116.66666666666667</v>
      </c>
      <c r="S53" s="33">
        <f t="shared" si="15"/>
        <v>0</v>
      </c>
      <c r="U53" s="47" t="str">
        <f t="shared" ref="U53:U63" si="21">U30</f>
        <v>T-Shirt</v>
      </c>
      <c r="V53" s="23">
        <f>pricing_chart!N60/pricing_chart!O60</f>
        <v>0.51388888888888884</v>
      </c>
      <c r="W53" s="25">
        <f>pricing_chart!O60</f>
        <v>144</v>
      </c>
      <c r="X53" s="20">
        <f>pricing_chart!K60/(1-analysis!$X$49)</f>
        <v>140</v>
      </c>
      <c r="Y53" s="33">
        <f t="shared" si="16"/>
        <v>0</v>
      </c>
      <c r="AB53" s="50" t="str">
        <f t="shared" ref="AB53:AB55" si="22">AB30</f>
        <v>School Uniform(Boys)</v>
      </c>
      <c r="AC53" s="23">
        <f>pricing_chart!T60/pricing_chart!U60</f>
        <v>0.56521739130434778</v>
      </c>
      <c r="AD53" s="25">
        <f>pricing_chart!U60</f>
        <v>253</v>
      </c>
      <c r="AE53" s="20">
        <f>pricing_chart!S60/(1-analysis!$AE$49)</f>
        <v>183.33333333333334</v>
      </c>
      <c r="AF53" s="33">
        <f>IF(AE53&lt;AD53,0,AE53-AD53)</f>
        <v>0</v>
      </c>
      <c r="AH53" s="19" t="str">
        <f t="shared" ref="AH53:AH55" si="23">AH30</f>
        <v>School Uniform(Boys)</v>
      </c>
      <c r="AI53" s="23" t="e">
        <f>pricing_chart!V55/pricing_chart!W55</f>
        <v>#DIV/0!</v>
      </c>
      <c r="AJ53" s="25">
        <f>pricing_chart!W60</f>
        <v>380</v>
      </c>
      <c r="AK53" s="20">
        <f>(pricing_chart!S60/(1-analysis!$AK$49))</f>
        <v>220</v>
      </c>
      <c r="AL53" s="33">
        <f>IF(AK53&lt;AJ53,0,AK53-AJ53)</f>
        <v>0</v>
      </c>
    </row>
    <row r="54" spans="3:38" s="63" customFormat="1" ht="13.8" x14ac:dyDescent="0.25">
      <c r="C54" s="59" t="str">
        <f t="shared" si="17"/>
        <v>Kurti sets</v>
      </c>
      <c r="D54" s="79">
        <f>pricing_chart!D61/pricing_chart!E61</f>
        <v>0.58990536277602523</v>
      </c>
      <c r="E54" s="25">
        <f>pricing_chart!E61</f>
        <v>317</v>
      </c>
      <c r="F54" s="20">
        <f>pricing_chart!C61/(1-analysis!$F$49)</f>
        <v>260</v>
      </c>
      <c r="G54" s="33">
        <f t="shared" si="18"/>
        <v>0</v>
      </c>
      <c r="I54" s="56" t="str">
        <f t="shared" si="19"/>
        <v>Kurti sets</v>
      </c>
      <c r="J54" s="79">
        <f>pricing_chart!F61/pricing_chart!G61</f>
        <v>0.67980295566502458</v>
      </c>
      <c r="K54" s="25">
        <f>pricing_chart!G61</f>
        <v>406</v>
      </c>
      <c r="L54" s="20">
        <f>pricing_chart!C61/(1-analysis!$L$49)</f>
        <v>325</v>
      </c>
      <c r="M54" s="33">
        <f t="shared" si="14"/>
        <v>0</v>
      </c>
      <c r="O54" s="47" t="str">
        <f t="shared" si="20"/>
        <v>Vest</v>
      </c>
      <c r="P54" s="23">
        <f>pricing_chart!L61/pricing_chart!M61</f>
        <v>0.41176470588235292</v>
      </c>
      <c r="Q54" s="25">
        <f>pricing_chart!M61</f>
        <v>85</v>
      </c>
      <c r="R54" s="20">
        <f>pricing_chart!K61/(1-analysis!$R$49)</f>
        <v>83.333333333333343</v>
      </c>
      <c r="S54" s="33">
        <f t="shared" si="15"/>
        <v>0</v>
      </c>
      <c r="U54" s="47" t="str">
        <f t="shared" si="21"/>
        <v>Vest</v>
      </c>
      <c r="V54" s="23">
        <f>pricing_chart!N61/pricing_chart!O61</f>
        <v>0.50980392156862742</v>
      </c>
      <c r="W54" s="25">
        <f>pricing_chart!O61</f>
        <v>102</v>
      </c>
      <c r="X54" s="20">
        <f>pricing_chart!K61/(1-analysis!$X$49)</f>
        <v>100</v>
      </c>
      <c r="Y54" s="33">
        <f t="shared" si="16"/>
        <v>0</v>
      </c>
      <c r="AB54" s="51" t="str">
        <f t="shared" si="22"/>
        <v>Uniform - Men</v>
      </c>
      <c r="AC54" s="23">
        <f>pricing_chart!T61/pricing_chart!U61</f>
        <v>0.47368421052631576</v>
      </c>
      <c r="AD54" s="25">
        <f>pricing_chart!U61</f>
        <v>380</v>
      </c>
      <c r="AE54" s="20">
        <f>pricing_chart!S61/(1-analysis!$AE$49)</f>
        <v>333.33333333333337</v>
      </c>
      <c r="AF54" s="33">
        <f>IF(AE54&lt;AD54,0,AE54-AD54)</f>
        <v>0</v>
      </c>
      <c r="AH54" s="19" t="str">
        <f t="shared" si="23"/>
        <v>Uniform - Men</v>
      </c>
      <c r="AI54" s="23" t="e">
        <f>pricing_chart!V56/pricing_chart!W56</f>
        <v>#DIV/0!</v>
      </c>
      <c r="AJ54" s="25">
        <f>pricing_chart!W61</f>
        <v>575</v>
      </c>
      <c r="AK54" s="20">
        <f>(pricing_chart!S61/(1-analysis!$AK$49))</f>
        <v>400</v>
      </c>
      <c r="AL54" s="33">
        <f>IF(AK54&lt;AJ54,0,AK54-AJ54)</f>
        <v>0</v>
      </c>
    </row>
    <row r="55" spans="3:38" s="63" customFormat="1" ht="28.2" thickBot="1" x14ac:dyDescent="0.3">
      <c r="C55" s="59" t="str">
        <f t="shared" si="17"/>
        <v>Salwar / Anarkali suits</v>
      </c>
      <c r="D55" s="79">
        <f>pricing_chart!D62/pricing_chart!E62</f>
        <v>0.62577962577962576</v>
      </c>
      <c r="E55" s="25">
        <f>pricing_chart!E62</f>
        <v>481</v>
      </c>
      <c r="F55" s="20">
        <f>pricing_chart!C62/(1-analysis!$F$49)</f>
        <v>360</v>
      </c>
      <c r="G55" s="33">
        <f t="shared" si="18"/>
        <v>0</v>
      </c>
      <c r="I55" s="56" t="str">
        <f t="shared" si="19"/>
        <v>Salwar / Anarkali suits</v>
      </c>
      <c r="J55" s="79">
        <f>pricing_chart!F62/pricing_chart!G62</f>
        <v>0.65714285714285714</v>
      </c>
      <c r="K55" s="25">
        <f>pricing_chart!G62</f>
        <v>525</v>
      </c>
      <c r="L55" s="20">
        <f>pricing_chart!C62/(1-analysis!$L$49)</f>
        <v>450</v>
      </c>
      <c r="M55" s="33">
        <f t="shared" si="14"/>
        <v>0</v>
      </c>
      <c r="O55" s="47" t="str">
        <f t="shared" si="20"/>
        <v>Dhoti</v>
      </c>
      <c r="P55" s="23">
        <f>pricing_chart!L62/pricing_chart!M62</f>
        <v>0.41176470588235292</v>
      </c>
      <c r="Q55" s="25">
        <f>pricing_chart!M62</f>
        <v>85</v>
      </c>
      <c r="R55" s="20">
        <f>pricing_chart!K62/(1-analysis!$R$49)</f>
        <v>83.333333333333343</v>
      </c>
      <c r="S55" s="33">
        <f t="shared" si="15"/>
        <v>0</v>
      </c>
      <c r="U55" s="47" t="str">
        <f t="shared" si="21"/>
        <v>Dhoti</v>
      </c>
      <c r="V55" s="23">
        <f>pricing_chart!N62/pricing_chart!O62</f>
        <v>0.50980392156862742</v>
      </c>
      <c r="W55" s="25">
        <f>pricing_chart!O62</f>
        <v>102</v>
      </c>
      <c r="X55" s="20">
        <f>pricing_chart!K62/(1-analysis!$X$49)</f>
        <v>100</v>
      </c>
      <c r="Y55" s="33">
        <f t="shared" si="16"/>
        <v>0</v>
      </c>
      <c r="AB55" s="52" t="str">
        <f t="shared" si="22"/>
        <v>Uniform - Women</v>
      </c>
      <c r="AC55" s="28">
        <f>pricing_chart!T62/pricing_chart!U62</f>
        <v>0.46745562130177515</v>
      </c>
      <c r="AD55" s="26">
        <f>pricing_chart!U62</f>
        <v>338</v>
      </c>
      <c r="AE55" s="27">
        <f>pricing_chart!S62/(1-analysis!$AE$49)</f>
        <v>300</v>
      </c>
      <c r="AF55" s="34">
        <f>IF(AE55&lt;AD55,0,AE55-AD55)</f>
        <v>0</v>
      </c>
      <c r="AH55" s="54" t="str">
        <f t="shared" si="23"/>
        <v>Uniform - Women</v>
      </c>
      <c r="AI55" s="28" t="e">
        <f>pricing_chart!V57/pricing_chart!W57</f>
        <v>#DIV/0!</v>
      </c>
      <c r="AJ55" s="26">
        <f>pricing_chart!W62</f>
        <v>507</v>
      </c>
      <c r="AK55" s="27">
        <f>(pricing_chart!S62/(1-analysis!$AK$49))</f>
        <v>360</v>
      </c>
      <c r="AL55" s="34">
        <f>IF(AK55&lt;AJ55,0,AK55-AJ55)</f>
        <v>0</v>
      </c>
    </row>
    <row r="56" spans="3:38" s="63" customFormat="1" ht="13.8" x14ac:dyDescent="0.25">
      <c r="C56" s="59" t="str">
        <f t="shared" si="17"/>
        <v>Co-Ords / Fusions</v>
      </c>
      <c r="D56" s="79">
        <f>pricing_chart!D63/pricing_chart!E63</f>
        <v>0.51367781155015202</v>
      </c>
      <c r="E56" s="25">
        <f>pricing_chart!E63</f>
        <v>329</v>
      </c>
      <c r="F56" s="20">
        <f>pricing_chart!C63/(1-analysis!$F$49)</f>
        <v>320</v>
      </c>
      <c r="G56" s="33">
        <f t="shared" si="18"/>
        <v>0</v>
      </c>
      <c r="I56" s="56" t="str">
        <f t="shared" si="19"/>
        <v>Co-Ords / Fusions</v>
      </c>
      <c r="J56" s="79">
        <f>pricing_chart!F63/pricing_chart!G63</f>
        <v>0.60880195599022002</v>
      </c>
      <c r="K56" s="25">
        <f>pricing_chart!G63</f>
        <v>409</v>
      </c>
      <c r="L56" s="20">
        <f>pricing_chart!C63/(1-analysis!$L$49)</f>
        <v>400</v>
      </c>
      <c r="M56" s="33">
        <f t="shared" si="14"/>
        <v>0</v>
      </c>
      <c r="O56" s="47" t="str">
        <f t="shared" si="20"/>
        <v>Kurta (Basic)</v>
      </c>
      <c r="P56" s="23">
        <f>pricing_chart!L63/pricing_chart!M63</f>
        <v>0.49152542372881358</v>
      </c>
      <c r="Q56" s="25">
        <f>pricing_chart!M63</f>
        <v>236</v>
      </c>
      <c r="R56" s="20">
        <f>pricing_chart!K63/(1-analysis!$R$49)</f>
        <v>200</v>
      </c>
      <c r="S56" s="33">
        <f t="shared" si="15"/>
        <v>0</v>
      </c>
      <c r="U56" s="47" t="str">
        <f t="shared" si="21"/>
        <v>Kurta (Basic)</v>
      </c>
      <c r="V56" s="23">
        <f>pricing_chart!N63/pricing_chart!O63</f>
        <v>0.51219512195121952</v>
      </c>
      <c r="W56" s="25">
        <f>pricing_chart!O63</f>
        <v>246</v>
      </c>
      <c r="X56" s="20">
        <f>pricing_chart!K63/(1-analysis!$X$49)</f>
        <v>240</v>
      </c>
      <c r="Y56" s="33">
        <f t="shared" si="16"/>
        <v>0</v>
      </c>
    </row>
    <row r="57" spans="3:38" s="63" customFormat="1" ht="13.8" x14ac:dyDescent="0.25">
      <c r="C57" s="59" t="str">
        <f t="shared" si="17"/>
        <v>Leggings / Inskirts</v>
      </c>
      <c r="D57" s="79">
        <f>pricing_chart!D64/pricing_chart!E64</f>
        <v>0.58715596330275233</v>
      </c>
      <c r="E57" s="25">
        <f>pricing_chart!E64</f>
        <v>109</v>
      </c>
      <c r="F57" s="20">
        <f>pricing_chart!C64/(1-analysis!$F$49)</f>
        <v>90</v>
      </c>
      <c r="G57" s="33">
        <f t="shared" si="18"/>
        <v>0</v>
      </c>
      <c r="I57" s="56" t="str">
        <f t="shared" si="19"/>
        <v>Leggings / Inskirts</v>
      </c>
      <c r="J57" s="79">
        <f>pricing_chart!F64/pricing_chart!G64</f>
        <v>0.73053892215568861</v>
      </c>
      <c r="K57" s="25">
        <f>pricing_chart!G64</f>
        <v>167</v>
      </c>
      <c r="L57" s="20">
        <f>pricing_chart!C64/(1-analysis!$L$49)</f>
        <v>112.5</v>
      </c>
      <c r="M57" s="33">
        <f t="shared" si="14"/>
        <v>0</v>
      </c>
      <c r="O57" s="47" t="str">
        <f t="shared" si="20"/>
        <v>Kurta (Premium)</v>
      </c>
      <c r="P57" s="23">
        <f>pricing_chart!L64/pricing_chart!M64</f>
        <v>0.63917525773195871</v>
      </c>
      <c r="Q57" s="25">
        <f>pricing_chart!M64</f>
        <v>388</v>
      </c>
      <c r="R57" s="20">
        <f>pricing_chart!K64/(1-analysis!$R$49)</f>
        <v>233.33333333333334</v>
      </c>
      <c r="S57" s="33">
        <f t="shared" si="15"/>
        <v>0</v>
      </c>
      <c r="U57" s="47" t="str">
        <f t="shared" si="21"/>
        <v>Kurta (Premium)</v>
      </c>
      <c r="V57" s="23">
        <f>pricing_chart!N64/pricing_chart!O64</f>
        <v>0.51048951048951052</v>
      </c>
      <c r="W57" s="25">
        <f>pricing_chart!O64</f>
        <v>286</v>
      </c>
      <c r="X57" s="20">
        <f>pricing_chart!K64/(1-analysis!$X$49)</f>
        <v>280</v>
      </c>
      <c r="Y57" s="33">
        <f t="shared" si="16"/>
        <v>0</v>
      </c>
    </row>
    <row r="58" spans="3:38" s="63" customFormat="1" ht="13.8" x14ac:dyDescent="0.25">
      <c r="C58" s="59" t="str">
        <f t="shared" si="17"/>
        <v>Skirt</v>
      </c>
      <c r="D58" s="79">
        <f>pricing_chart!D65/pricing_chart!E65</f>
        <v>0.5625</v>
      </c>
      <c r="E58" s="25">
        <f>pricing_chart!E65</f>
        <v>160</v>
      </c>
      <c r="F58" s="20">
        <f>pricing_chart!C65/(1-analysis!$F$49)</f>
        <v>140</v>
      </c>
      <c r="G58" s="33">
        <f t="shared" si="18"/>
        <v>0</v>
      </c>
      <c r="I58" s="56" t="str">
        <f t="shared" si="19"/>
        <v>Skirt</v>
      </c>
      <c r="J58" s="79">
        <f>pricing_chart!F65/pricing_chart!G65</f>
        <v>0.72332015810276684</v>
      </c>
      <c r="K58" s="25">
        <f>pricing_chart!G65</f>
        <v>253</v>
      </c>
      <c r="L58" s="20">
        <f>pricing_chart!C65/(1-analysis!$L$49)</f>
        <v>175</v>
      </c>
      <c r="M58" s="33">
        <f t="shared" si="14"/>
        <v>0</v>
      </c>
      <c r="O58" s="47" t="str">
        <f t="shared" si="20"/>
        <v>Sherwani (Basic)</v>
      </c>
      <c r="P58" s="23">
        <f>pricing_chart!L65/pricing_chart!M65</f>
        <v>0.55654101995565408</v>
      </c>
      <c r="Q58" s="25">
        <f>pricing_chart!M65</f>
        <v>1353</v>
      </c>
      <c r="R58" s="20">
        <f>pricing_chart!K65/(1-analysis!$R$49)</f>
        <v>1000</v>
      </c>
      <c r="S58" s="33">
        <f t="shared" si="15"/>
        <v>0</v>
      </c>
      <c r="U58" s="47" t="str">
        <f t="shared" si="21"/>
        <v>Sherwani (Basic)</v>
      </c>
      <c r="V58" s="23">
        <f>pricing_chart!N65/pricing_chart!O65</f>
        <v>0.51060358890701463</v>
      </c>
      <c r="W58" s="25">
        <f>pricing_chart!O65</f>
        <v>1226</v>
      </c>
      <c r="X58" s="20">
        <f>pricing_chart!K65/(1-analysis!$X$49)</f>
        <v>1200</v>
      </c>
      <c r="Y58" s="33">
        <f t="shared" si="16"/>
        <v>0</v>
      </c>
    </row>
    <row r="59" spans="3:38" s="63" customFormat="1" ht="13.8" x14ac:dyDescent="0.25">
      <c r="C59" s="59" t="str">
        <f t="shared" si="17"/>
        <v>Blouse</v>
      </c>
      <c r="D59" s="79">
        <f>pricing_chart!D66/pricing_chart!E66</f>
        <v>0.52830188679245282</v>
      </c>
      <c r="E59" s="25">
        <f>pricing_chart!E66</f>
        <v>212</v>
      </c>
      <c r="F59" s="20">
        <f>pricing_chart!C66/(1-analysis!$F$49)</f>
        <v>200</v>
      </c>
      <c r="G59" s="33">
        <f t="shared" si="18"/>
        <v>0</v>
      </c>
      <c r="I59" s="56" t="str">
        <f t="shared" si="19"/>
        <v>Blouse</v>
      </c>
      <c r="J59" s="79">
        <f>pricing_chart!F66/pricing_chart!G66</f>
        <v>0.61832061068702293</v>
      </c>
      <c r="K59" s="25">
        <f>pricing_chart!G66</f>
        <v>262</v>
      </c>
      <c r="L59" s="20">
        <f>pricing_chart!C66/(1-analysis!$L$49)</f>
        <v>250</v>
      </c>
      <c r="M59" s="33">
        <f t="shared" si="14"/>
        <v>0</v>
      </c>
      <c r="O59" s="47" t="str">
        <f t="shared" si="20"/>
        <v>Sherwani (Premium)</v>
      </c>
      <c r="P59" s="23">
        <f>pricing_chart!L66/pricing_chart!M66</f>
        <v>0.63421496904895891</v>
      </c>
      <c r="Q59" s="25">
        <f>pricing_chart!M66</f>
        <v>1777</v>
      </c>
      <c r="R59" s="20">
        <f>pricing_chart!K66/(1-analysis!$R$49)</f>
        <v>1083.3333333333335</v>
      </c>
      <c r="S59" s="33">
        <f t="shared" si="15"/>
        <v>0</v>
      </c>
      <c r="U59" s="47" t="str">
        <f t="shared" si="21"/>
        <v>Sherwani (Premium)</v>
      </c>
      <c r="V59" s="23">
        <f>pricing_chart!N66/pricing_chart!O66</f>
        <v>0.51054216867469882</v>
      </c>
      <c r="W59" s="25">
        <f>pricing_chart!O66</f>
        <v>1328</v>
      </c>
      <c r="X59" s="20">
        <f>pricing_chart!K66/(1-analysis!$X$49)</f>
        <v>1300</v>
      </c>
      <c r="Y59" s="33">
        <f t="shared" si="16"/>
        <v>0</v>
      </c>
    </row>
    <row r="60" spans="3:38" s="63" customFormat="1" ht="13.8" x14ac:dyDescent="0.25">
      <c r="C60" s="59" t="str">
        <f t="shared" si="17"/>
        <v>Designer / Blouse</v>
      </c>
      <c r="D60" s="79">
        <f>pricing_chart!D67/pricing_chart!E67</f>
        <v>0.47506561679790027</v>
      </c>
      <c r="E60" s="25">
        <f>pricing_chart!E67</f>
        <v>381</v>
      </c>
      <c r="F60" s="20">
        <f>pricing_chart!C67/(1-analysis!$F$49)</f>
        <v>400</v>
      </c>
      <c r="G60" s="33">
        <f>IF(F60&lt;E60,0,F60-E60)</f>
        <v>19</v>
      </c>
      <c r="I60" s="56" t="str">
        <f t="shared" si="19"/>
        <v>Designer / Blouse</v>
      </c>
      <c r="J60" s="79">
        <f>pricing_chart!F67/pricing_chart!G67</f>
        <v>0.58506224066390045</v>
      </c>
      <c r="K60" s="25">
        <f>pricing_chart!G67</f>
        <v>482</v>
      </c>
      <c r="L60" s="20">
        <f>pricing_chart!C67/(1-analysis!$L$49)</f>
        <v>500</v>
      </c>
      <c r="M60" s="33">
        <f t="shared" si="14"/>
        <v>18</v>
      </c>
      <c r="O60" s="47" t="str">
        <f t="shared" si="20"/>
        <v>Pant (Basic)</v>
      </c>
      <c r="P60" s="23">
        <f>pricing_chart!L67/pricing_chart!M67</f>
        <v>0.59627329192546585</v>
      </c>
      <c r="Q60" s="25">
        <f>pricing_chart!M67</f>
        <v>322</v>
      </c>
      <c r="R60" s="20">
        <f>pricing_chart!K67/(1-analysis!$R$49)</f>
        <v>216.66666666666669</v>
      </c>
      <c r="S60" s="33">
        <f t="shared" si="15"/>
        <v>0</v>
      </c>
      <c r="U60" s="47" t="str">
        <f t="shared" si="21"/>
        <v>Pant (Basic)</v>
      </c>
      <c r="V60" s="23">
        <f>pricing_chart!N67/pricing_chart!O67</f>
        <v>0.51127819548872178</v>
      </c>
      <c r="W60" s="25">
        <f>pricing_chart!O67</f>
        <v>266</v>
      </c>
      <c r="X60" s="20">
        <f>pricing_chart!K67/(1-analysis!$X$49)</f>
        <v>260</v>
      </c>
      <c r="Y60" s="33">
        <f t="shared" si="16"/>
        <v>0</v>
      </c>
    </row>
    <row r="61" spans="3:38" s="63" customFormat="1" ht="13.8" x14ac:dyDescent="0.25">
      <c r="C61" s="59" t="str">
        <f t="shared" si="17"/>
        <v>Innerwears</v>
      </c>
      <c r="D61" s="79">
        <f>pricing_chart!D68/pricing_chart!E68</f>
        <v>0.550561797752809</v>
      </c>
      <c r="E61" s="25">
        <f>pricing_chart!E68</f>
        <v>178</v>
      </c>
      <c r="F61" s="20">
        <f>pricing_chart!C68/(1-analysis!$F$49)</f>
        <v>160</v>
      </c>
      <c r="G61" s="33">
        <f t="shared" si="18"/>
        <v>0</v>
      </c>
      <c r="I61" s="56" t="str">
        <f t="shared" si="19"/>
        <v>Innerwears</v>
      </c>
      <c r="J61" s="79">
        <f>pricing_chart!F68/pricing_chart!G68</f>
        <v>0.65217391304347827</v>
      </c>
      <c r="K61" s="25">
        <f>pricing_chart!G68</f>
        <v>230</v>
      </c>
      <c r="L61" s="20">
        <f>pricing_chart!C68/(1-analysis!$L$49)</f>
        <v>200</v>
      </c>
      <c r="M61" s="33">
        <f t="shared" si="14"/>
        <v>0</v>
      </c>
      <c r="O61" s="47" t="str">
        <f t="shared" si="20"/>
        <v>Pant (Premium)</v>
      </c>
      <c r="P61" s="23">
        <f>pricing_chart!L68/pricing_chart!M68</f>
        <v>0.65879265091863515</v>
      </c>
      <c r="Q61" s="25">
        <f>pricing_chart!M68</f>
        <v>381</v>
      </c>
      <c r="R61" s="20">
        <f>pricing_chart!K68/(1-analysis!$R$49)</f>
        <v>216.66666666666669</v>
      </c>
      <c r="S61" s="33">
        <f t="shared" si="15"/>
        <v>0</v>
      </c>
      <c r="U61" s="47" t="str">
        <f t="shared" si="21"/>
        <v>Pant (Premium)</v>
      </c>
      <c r="V61" s="23">
        <f>pricing_chart!N68/pricing_chart!O68</f>
        <v>0.51127819548872178</v>
      </c>
      <c r="W61" s="25">
        <f>pricing_chart!O68</f>
        <v>266</v>
      </c>
      <c r="X61" s="20">
        <f>pricing_chart!K68/(1-analysis!$X$49)</f>
        <v>260</v>
      </c>
      <c r="Y61" s="33">
        <f t="shared" si="16"/>
        <v>0</v>
      </c>
    </row>
    <row r="62" spans="3:38" s="63" customFormat="1" ht="13.8" x14ac:dyDescent="0.25">
      <c r="C62" s="59" t="str">
        <f t="shared" si="17"/>
        <v>T-shirts</v>
      </c>
      <c r="D62" s="79">
        <f>pricing_chart!D69/pricing_chart!E69</f>
        <v>0.51048951048951052</v>
      </c>
      <c r="E62" s="25">
        <f>pricing_chart!E69</f>
        <v>143</v>
      </c>
      <c r="F62" s="20">
        <f>pricing_chart!C69/(1-analysis!$F$49)</f>
        <v>140</v>
      </c>
      <c r="G62" s="33">
        <f t="shared" si="18"/>
        <v>0</v>
      </c>
      <c r="I62" s="56" t="str">
        <f t="shared" si="19"/>
        <v>T-shirts</v>
      </c>
      <c r="J62" s="79">
        <f>pricing_chart!F69/pricing_chart!G69</f>
        <v>0.6216216216216216</v>
      </c>
      <c r="K62" s="25">
        <f>pricing_chart!G69</f>
        <v>185</v>
      </c>
      <c r="L62" s="20">
        <f>pricing_chart!C69/(1-analysis!$L$49)</f>
        <v>175</v>
      </c>
      <c r="M62" s="33">
        <f t="shared" si="14"/>
        <v>0</v>
      </c>
      <c r="O62" s="47" t="str">
        <f t="shared" si="20"/>
        <v>Shot / Trousers (Basic)</v>
      </c>
      <c r="P62" s="23">
        <f>pricing_chart!L69/pricing_chart!M69</f>
        <v>0.4642857142857143</v>
      </c>
      <c r="Q62" s="25">
        <f>pricing_chart!M69</f>
        <v>168</v>
      </c>
      <c r="R62" s="20">
        <f>pricing_chart!K69/(1-analysis!$R$49)</f>
        <v>150</v>
      </c>
      <c r="S62" s="33">
        <f t="shared" si="15"/>
        <v>0</v>
      </c>
      <c r="U62" s="47" t="str">
        <f t="shared" si="21"/>
        <v>Shot / Trousers (Basic)</v>
      </c>
      <c r="V62" s="23">
        <f>pricing_chart!N69/pricing_chart!O69</f>
        <v>0.51086956521739135</v>
      </c>
      <c r="W62" s="25">
        <f>pricing_chart!O69</f>
        <v>184</v>
      </c>
      <c r="X62" s="20">
        <f>pricing_chart!K69/(1-analysis!$X$49)</f>
        <v>180</v>
      </c>
      <c r="Y62" s="33">
        <f t="shared" si="16"/>
        <v>0</v>
      </c>
    </row>
    <row r="63" spans="3:38" s="63" customFormat="1" ht="14.4" thickBot="1" x14ac:dyDescent="0.3">
      <c r="C63" s="59" t="str">
        <f t="shared" si="17"/>
        <v>Shots</v>
      </c>
      <c r="D63" s="79">
        <f>pricing_chart!D70/pricing_chart!E70</f>
        <v>0.42857142857142855</v>
      </c>
      <c r="E63" s="25">
        <f>pricing_chart!E70</f>
        <v>140</v>
      </c>
      <c r="F63" s="20">
        <f>pricing_chart!C70/(1-analysis!$F$49)</f>
        <v>160</v>
      </c>
      <c r="G63" s="33">
        <f t="shared" si="18"/>
        <v>20</v>
      </c>
      <c r="I63" s="56" t="str">
        <f t="shared" si="19"/>
        <v>Shots</v>
      </c>
      <c r="J63" s="79">
        <f>pricing_chart!F70/pricing_chart!G70</f>
        <v>0.62085308056872035</v>
      </c>
      <c r="K63" s="25">
        <f>pricing_chart!G70</f>
        <v>211</v>
      </c>
      <c r="L63" s="20">
        <f>pricing_chart!C70/(1-analysis!$L$49)</f>
        <v>200</v>
      </c>
      <c r="M63" s="33">
        <f t="shared" si="14"/>
        <v>0</v>
      </c>
      <c r="O63" s="48" t="str">
        <f t="shared" si="20"/>
        <v>Shot / Trousers (Premium)</v>
      </c>
      <c r="P63" s="28">
        <f>pricing_chart!L70/pricing_chart!M70</f>
        <v>0.49748743718592964</v>
      </c>
      <c r="Q63" s="26">
        <f>pricing_chart!M70</f>
        <v>199</v>
      </c>
      <c r="R63" s="27">
        <f>pricing_chart!K70/(1-analysis!$R$49)</f>
        <v>166.66666666666669</v>
      </c>
      <c r="S63" s="34">
        <f t="shared" si="15"/>
        <v>0</v>
      </c>
      <c r="U63" s="48" t="str">
        <f t="shared" si="21"/>
        <v>Shot / Trousers (Premium)</v>
      </c>
      <c r="V63" s="28">
        <f>pricing_chart!N70/pricing_chart!O70</f>
        <v>0.50980392156862742</v>
      </c>
      <c r="W63" s="26">
        <f>pricing_chart!O70</f>
        <v>204</v>
      </c>
      <c r="X63" s="27">
        <f>pricing_chart!K70/(1-analysis!$X$49)</f>
        <v>200</v>
      </c>
      <c r="Y63" s="34">
        <f t="shared" si="16"/>
        <v>0</v>
      </c>
    </row>
    <row r="64" spans="3:38" s="63" customFormat="1" ht="13.8" x14ac:dyDescent="0.25">
      <c r="C64" s="59" t="str">
        <f t="shared" si="17"/>
        <v>Trousers / Track pants</v>
      </c>
      <c r="D64" s="79">
        <f>pricing_chart!D71/pricing_chart!E71</f>
        <v>0.48717948717948717</v>
      </c>
      <c r="E64" s="25">
        <f>pricing_chart!E71</f>
        <v>195</v>
      </c>
      <c r="F64" s="20">
        <f>pricing_chart!C71/(1-analysis!$F$49)</f>
        <v>200</v>
      </c>
      <c r="G64" s="33">
        <f t="shared" si="18"/>
        <v>5</v>
      </c>
      <c r="I64" s="56" t="str">
        <f t="shared" si="19"/>
        <v>Trousers / Track pants</v>
      </c>
      <c r="J64" s="79">
        <f>pricing_chart!F71/pricing_chart!G71</f>
        <v>0.6108949416342413</v>
      </c>
      <c r="K64" s="25">
        <f>pricing_chart!G71</f>
        <v>257</v>
      </c>
      <c r="L64" s="20">
        <f>pricing_chart!C71/(1-analysis!$L$49)</f>
        <v>250</v>
      </c>
      <c r="M64" s="33">
        <f t="shared" si="14"/>
        <v>0</v>
      </c>
    </row>
    <row r="65" spans="3:13" s="63" customFormat="1" ht="13.8" x14ac:dyDescent="0.25">
      <c r="C65" s="59" t="str">
        <f t="shared" si="17"/>
        <v>Formal Shirts &amp; Pants set</v>
      </c>
      <c r="D65" s="79">
        <f>pricing_chart!D72/pricing_chart!E72</f>
        <v>0.70802919708029199</v>
      </c>
      <c r="E65" s="25">
        <f>pricing_chart!E72</f>
        <v>685</v>
      </c>
      <c r="F65" s="20">
        <f>pricing_chart!C72/(1-analysis!$F$49)</f>
        <v>400</v>
      </c>
      <c r="G65" s="33">
        <f t="shared" si="18"/>
        <v>0</v>
      </c>
      <c r="I65" s="56" t="str">
        <f t="shared" si="19"/>
        <v>Formal Shirts &amp; Pants set</v>
      </c>
      <c r="J65" s="79">
        <f>pricing_chart!F72/pricing_chart!G72</f>
        <v>0.7635933806146572</v>
      </c>
      <c r="K65" s="25">
        <f>pricing_chart!G72</f>
        <v>846</v>
      </c>
      <c r="L65" s="20">
        <f>pricing_chart!C72/(1-analysis!$L$49)</f>
        <v>500</v>
      </c>
      <c r="M65" s="33">
        <f t="shared" si="14"/>
        <v>0</v>
      </c>
    </row>
    <row r="66" spans="3:13" s="63" customFormat="1" ht="13.8" x14ac:dyDescent="0.25">
      <c r="C66" s="59" t="str">
        <f t="shared" si="17"/>
        <v>Nightwear / Loungewear</v>
      </c>
      <c r="D66" s="79">
        <f>pricing_chart!D73/pricing_chart!E73</f>
        <v>0.55947136563876654</v>
      </c>
      <c r="E66" s="25">
        <f>pricing_chart!E73</f>
        <v>227</v>
      </c>
      <c r="F66" s="20">
        <f>pricing_chart!C73/(1-analysis!$F$49)</f>
        <v>200</v>
      </c>
      <c r="G66" s="33">
        <f t="shared" si="18"/>
        <v>0</v>
      </c>
      <c r="I66" s="56" t="str">
        <f t="shared" si="19"/>
        <v>Nightwear / Loungewear</v>
      </c>
      <c r="J66" s="79">
        <f>pricing_chart!F73/pricing_chart!G73</f>
        <v>0.70414201183431957</v>
      </c>
      <c r="K66" s="25">
        <f>pricing_chart!G73</f>
        <v>338</v>
      </c>
      <c r="L66" s="20">
        <f>pricing_chart!C73/(1-analysis!$L$49)</f>
        <v>250</v>
      </c>
      <c r="M66" s="33">
        <f t="shared" si="14"/>
        <v>0</v>
      </c>
    </row>
    <row r="67" spans="3:13" s="63" customFormat="1" ht="13.8" x14ac:dyDescent="0.25">
      <c r="C67" s="59" t="str">
        <f t="shared" si="17"/>
        <v xml:space="preserve">Lehanga Set </v>
      </c>
      <c r="D67" s="79">
        <f>pricing_chart!D74/pricing_chart!E74</f>
        <v>0.40898345153664301</v>
      </c>
      <c r="E67" s="25">
        <f>pricing_chart!E74</f>
        <v>846</v>
      </c>
      <c r="F67" s="20">
        <f>pricing_chart!C74/(1-analysis!$F$49)</f>
        <v>1000</v>
      </c>
      <c r="G67" s="33">
        <f t="shared" si="18"/>
        <v>154</v>
      </c>
      <c r="I67" s="56" t="str">
        <f t="shared" si="19"/>
        <v xml:space="preserve">Lehanga Set </v>
      </c>
      <c r="J67" s="79">
        <f>pricing_chart!F74/pricing_chart!G74</f>
        <v>0.54504094631483169</v>
      </c>
      <c r="K67" s="25">
        <f>pricing_chart!G74</f>
        <v>1099</v>
      </c>
      <c r="L67" s="20">
        <f>pricing_chart!C74/(1-analysis!$L$49)</f>
        <v>1250</v>
      </c>
      <c r="M67" s="33">
        <f t="shared" si="14"/>
        <v>151</v>
      </c>
    </row>
    <row r="68" spans="3:13" s="63" customFormat="1" ht="14.4" thickBot="1" x14ac:dyDescent="0.3">
      <c r="C68" s="60" t="str">
        <f t="shared" si="17"/>
        <v>Half Saree</v>
      </c>
      <c r="D68" s="80">
        <f>pricing_chart!D75/pricing_chart!E75</f>
        <v>0.5400788436268068</v>
      </c>
      <c r="E68" s="26">
        <f>pricing_chart!E75</f>
        <v>761</v>
      </c>
      <c r="F68" s="27">
        <f>pricing_chart!C75/(1-analysis!$F$49)</f>
        <v>700</v>
      </c>
      <c r="G68" s="34">
        <f t="shared" si="18"/>
        <v>0</v>
      </c>
      <c r="I68" s="57" t="str">
        <f t="shared" si="19"/>
        <v>Half Saree</v>
      </c>
      <c r="J68" s="80">
        <f>pricing_chart!F75/pricing_chart!G75</f>
        <v>0.58628841607565008</v>
      </c>
      <c r="K68" s="26">
        <f>pricing_chart!G75</f>
        <v>846</v>
      </c>
      <c r="L68" s="27">
        <f>pricing_chart!C75/(1-analysis!$L$49)</f>
        <v>875</v>
      </c>
      <c r="M68" s="34">
        <f t="shared" si="14"/>
        <v>29</v>
      </c>
    </row>
  </sheetData>
  <conditionalFormatting sqref="AF6:AF9 AL6:AL9 S6:S17 Y6:Y17 G6:G22 M6:M22">
    <cfRule type="cellIs" dxfId="2" priority="4" operator="greaterThan">
      <formula>0</formula>
    </cfRule>
  </conditionalFormatting>
  <conditionalFormatting sqref="AF29:AF32 AL29:AL32 S29:S40 Y29:Y40 G29:G45 M29:M45">
    <cfRule type="cellIs" dxfId="1" priority="2" operator="greaterThan">
      <formula>0</formula>
    </cfRule>
  </conditionalFormatting>
  <conditionalFormatting sqref="AF52:AF55 AL52:AL55 S52:S63 Y52:Y63 M52:M68 G52:G68">
    <cfRule type="cellIs" dxfId="0" priority="1" operator="greaterThan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D13" sqref="D13"/>
    </sheetView>
  </sheetViews>
  <sheetFormatPr defaultRowHeight="13.2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pricing_chart</vt:lpstr>
      <vt:lpstr>tailor cost</vt:lpstr>
      <vt:lpstr>analysis</vt:lpstr>
      <vt:lpstr>Sheet1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HP</cp:lastModifiedBy>
  <cp:lastPrinted>2026-04-24T06:49:08Z</cp:lastPrinted>
  <dcterms:created xsi:type="dcterms:W3CDTF">2026-04-24T06:43:21Z</dcterms:created>
  <dcterms:modified xsi:type="dcterms:W3CDTF">2026-05-09T13:36:44Z</dcterms:modified>
</cp:coreProperties>
</file>